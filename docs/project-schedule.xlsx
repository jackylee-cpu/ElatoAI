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表" sheetId="1" state="visible" r:id="rId1"/>
    <sheet xmlns:r="http://schemas.openxmlformats.org/officeDocument/2006/relationships" name="Jacky 開發與測試" sheetId="2" state="visible" r:id="rId2"/>
    <sheet xmlns:r="http://schemas.openxmlformats.org/officeDocument/2006/relationships" name="變更記錄" sheetId="3" state="visible" r:id="rId3"/>
  </sheets>
  <definedNames>
    <definedName name="_xlnm._FilterDatabase" localSheetId="1" hidden="1">'Jacky 開發與測試'!$A$6:$M$117</definedName>
    <definedName name="_xlnm.Print_Titles" localSheetId="1">'Jacky 開發與測試'!$6:$6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/d"/>
    <numFmt numFmtId="165" formatCode="m/d"/>
    <numFmt numFmtId="166" formatCode="yyyy-mm-dd h:mm:ss"/>
  </numFmts>
  <fonts count="9">
    <font>
      <name val="Calibri"/>
      <family val="2"/>
      <color theme="1"/>
      <sz val="11"/>
      <scheme val="minor"/>
    </font>
    <font>
      <name val="Microsoft JhengHei"/>
      <b val="1"/>
      <color rgb="0017202B"/>
      <sz val="16"/>
    </font>
    <font>
      <name val="Microsoft JhengHei"/>
      <color rgb="005B6474"/>
      <sz val="10"/>
    </font>
    <font>
      <name val="Microsoft JhengHei"/>
      <b val="1"/>
      <color rgb="0017202B"/>
      <sz val="13"/>
    </font>
    <font>
      <name val="Microsoft JhengHei"/>
      <b val="1"/>
      <color rgb="00FFFFFF"/>
    </font>
    <font>
      <name val="Microsoft JhengHei"/>
      <b val="1"/>
      <sz val="10.5"/>
    </font>
    <font>
      <name val="Microsoft JhengHei"/>
      <sz val="10.5"/>
    </font>
    <font>
      <name val="Microsoft JhengHei"/>
      <b val="1"/>
      <color rgb="005B6474"/>
      <sz val="10"/>
    </font>
    <font>
      <name val="Microsoft JhengHei"/>
      <b val="1"/>
      <color rgb="002A5FC4"/>
      <sz val="10.5"/>
    </font>
  </fonts>
  <fills count="3">
    <fill>
      <patternFill/>
    </fill>
    <fill>
      <patternFill patternType="gray125"/>
    </fill>
    <fill>
      <patternFill patternType="solid">
        <fgColor rgb="0017202B"/>
      </patternFill>
    </fill>
  </fills>
  <borders count="8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/>
      <right/>
      <top style="thin">
        <color rgb="00C9CED6"/>
      </top>
      <bottom/>
      <diagonal/>
    </border>
    <border>
      <left/>
      <right style="thin">
        <color rgb="00C9CED6"/>
      </right>
      <top style="thin">
        <color rgb="00C9CED6"/>
      </top>
      <bottom/>
      <diagonal/>
    </border>
    <border>
      <left/>
      <right/>
      <top style="thin">
        <color rgb="00C9CED6"/>
      </top>
      <bottom style="thin">
        <color rgb="00C9CED6"/>
      </bottom>
      <diagonal/>
    </border>
    <border>
      <left/>
      <right style="thin">
        <color rgb="00C9CED6"/>
      </right>
      <top style="thin">
        <color rgb="00C9CED6"/>
      </top>
      <bottom style="thin">
        <color rgb="00C9CED6"/>
      </bottom>
      <diagonal/>
    </border>
    <border>
      <left style="thin">
        <color rgb="00D5DAE0"/>
      </left>
      <right style="thin">
        <color rgb="00D5DAE0"/>
      </right>
      <top style="thin">
        <color rgb="00D5DAE0"/>
      </top>
      <bottom style="thin">
        <color rgb="00D5DAE0"/>
      </bottom>
    </border>
    <border>
      <left style="thin">
        <color rgb="00D5DAE0"/>
      </left>
      <right style="thin">
        <color rgb="00D5DAE0"/>
      </right>
      <top style="medium">
        <color rgb="009AA4B0"/>
      </top>
      <bottom style="thin">
        <color rgb="00D5DA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165" fontId="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164" fontId="6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7" applyAlignment="1" pivotButton="0" quotePrefix="0" xfId="0">
      <alignment horizontal="center" vertical="top" wrapText="1"/>
    </xf>
    <xf numFmtId="0" fontId="6" fillId="0" borderId="7" applyAlignment="1" pivotButton="0" quotePrefix="0" xfId="0">
      <alignment vertical="top" wrapText="1"/>
    </xf>
    <xf numFmtId="165" fontId="6" fillId="0" borderId="7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center" vertical="top" wrapText="1"/>
    </xf>
    <xf numFmtId="0" fontId="6" fillId="0" borderId="6" applyAlignment="1" pivotButton="0" quotePrefix="0" xfId="0">
      <alignment vertical="top" wrapText="1"/>
    </xf>
    <xf numFmtId="165" fontId="6" fillId="0" borderId="6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vertical="top" wrapText="1"/>
    </xf>
    <xf numFmtId="0" fontId="8" fillId="0" borderId="7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11">
    <dxf>
      <fill>
        <patternFill patternType="solid">
          <fgColor rgb="00FFF4C9"/>
        </patternFill>
      </fill>
    </dxf>
    <dxf>
      <font>
        <b val="1"/>
        <color rgb="000E7A71"/>
      </font>
      <fill>
        <patternFill patternType="solid">
          <fgColor rgb="00D9EFEB"/>
        </patternFill>
      </fill>
    </dxf>
    <dxf>
      <font>
        <b val="1"/>
        <color rgb="002A5FC4"/>
      </font>
      <fill>
        <patternFill patternType="solid">
          <fgColor rgb="00E0E8F8"/>
        </patternFill>
      </fill>
    </dxf>
    <dxf>
      <font>
        <b val="1"/>
        <color rgb="00B4650F"/>
      </font>
      <fill>
        <patternFill patternType="solid">
          <fgColor rgb="00F6E8D6"/>
        </patternFill>
      </fill>
    </dxf>
    <dxf>
      <font>
        <b val="1"/>
        <color rgb="00B8384F"/>
      </font>
      <fill>
        <patternFill patternType="solid">
          <fgColor rgb="00F8E0E5"/>
        </patternFill>
      </fill>
    </dxf>
    <dxf>
      <font>
        <b val="1"/>
        <color rgb="00B8384F"/>
      </font>
    </dxf>
    <dxf>
      <fill>
        <patternFill patternType="solid">
          <fgColor rgb="00FFF4C9"/>
          <bgColor rgb="00FFF4C9"/>
        </patternFill>
      </fill>
    </dxf>
    <dxf>
      <font>
        <color rgb="000E7A71"/>
      </font>
      <fill>
        <patternFill patternType="solid">
          <fgColor rgb="00D9EFEB"/>
          <bgColor rgb="00D9EFEB"/>
        </patternFill>
      </fill>
    </dxf>
    <dxf>
      <font>
        <color rgb="002A5FC4"/>
      </font>
      <fill>
        <patternFill patternType="solid">
          <fgColor rgb="00E0E8F8"/>
          <bgColor rgb="00E0E8F8"/>
        </patternFill>
      </fill>
    </dxf>
    <dxf>
      <font>
        <color rgb="00B4650F"/>
      </font>
      <fill>
        <patternFill patternType="solid">
          <fgColor rgb="00F6E8D6"/>
          <bgColor rgb="00F6E8D6"/>
        </patternFill>
      </fill>
    </dxf>
    <dxf>
      <font>
        <color rgb="00B8384F"/>
      </font>
      <fill>
        <patternFill patternType="solid">
          <fgColor rgb="00F8E0E5"/>
          <bgColor rgb="00F8E0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30" customWidth="1" min="4" max="4"/>
    <col width="52" customWidth="1" min="5" max="5"/>
    <col width="9" customWidth="1" min="6" max="6"/>
    <col width="14" customWidth="1" min="7" max="7"/>
    <col width="10" customWidth="1" min="8" max="8"/>
    <col width="13" customWidth="1" min="9" max="9"/>
    <col width="10" customWidth="1" min="10" max="10"/>
    <col width="22" customWidth="1" min="11" max="11"/>
  </cols>
  <sheetData>
    <row r="1">
      <c r="A1" s="1" t="inlineStr">
        <is>
          <t>AI Buddy 項目時間表</t>
        </is>
      </c>
    </row>
    <row r="2">
      <c r="A2" s="2" t="inlineStr">
        <is>
          <t>每週一個里程碑，每週五更新「狀態」和「實際完成日期」。細項看 production-readiness.xlsx，每週計劃看 docs/roadmap.md。</t>
        </is>
      </c>
    </row>
    <row r="4" ht="26" customHeight="1">
      <c r="A4" s="3" t="inlineStr">
        <is>
          <t>目標出廠</t>
        </is>
      </c>
      <c r="B4" s="14" t="n">
        <v>46402</v>
      </c>
      <c r="C4" s="3" t="inlineStr">
        <is>
          <t>距出廠（天）</t>
        </is>
      </c>
      <c r="D4" s="5">
        <f>DATE(2027,1,15)-TODAY()</f>
        <v/>
      </c>
      <c r="E4" s="3" t="inlineStr">
        <is>
          <t>本週</t>
        </is>
      </c>
      <c r="F4" s="5">
        <f>IFERROR(LOOKUP(2,1/(($B$7:$B$21&lt;=TODAY())*($C$7:$C$21+2&gt;=TODAY())),$A$7:$A$21),"—")</f>
        <v/>
      </c>
      <c r="G4" s="3" t="inlineStr">
        <is>
          <t>已完成</t>
        </is>
      </c>
      <c r="H4" s="5">
        <f>COUNTIF($H$7:$H$21,"已完成")&amp;" / "&amp;ROWS($H$7:$H$21)</f>
        <v/>
      </c>
      <c r="I4" s="3" t="inlineStr">
        <is>
          <t>逾期未完成</t>
        </is>
      </c>
      <c r="J4" s="5">
        <f>COUNTIF($J$7:$J$21,"&gt;0")</f>
        <v/>
      </c>
    </row>
    <row r="6">
      <c r="A6" s="6" t="inlineStr">
        <is>
          <t>週次</t>
        </is>
      </c>
      <c r="B6" s="6" t="inlineStr">
        <is>
          <t>開始</t>
        </is>
      </c>
      <c r="C6" s="6" t="inlineStr">
        <is>
          <t>結束</t>
        </is>
      </c>
      <c r="D6" s="6" t="inlineStr">
        <is>
          <t>里程碑</t>
        </is>
      </c>
      <c r="E6" s="6" t="inlineStr">
        <is>
          <t>怎樣算完成</t>
        </is>
      </c>
      <c r="F6" s="6" t="inlineStr">
        <is>
          <t>線</t>
        </is>
      </c>
      <c r="G6" s="6" t="inlineStr">
        <is>
          <t>對應任務</t>
        </is>
      </c>
      <c r="H6" s="6" t="inlineStr">
        <is>
          <t>狀態</t>
        </is>
      </c>
      <c r="I6" s="6" t="inlineStr">
        <is>
          <t>實際完成日期</t>
        </is>
      </c>
      <c r="J6" s="6" t="inlineStr">
        <is>
          <t>逾期（天）</t>
        </is>
      </c>
      <c r="K6" s="6" t="inlineStr">
        <is>
          <t>備註</t>
        </is>
      </c>
    </row>
    <row r="7" ht="38" customHeight="1">
      <c r="A7" s="7" t="inlineStr">
        <is>
          <t>W1</t>
        </is>
      </c>
      <c r="B7" s="15" t="n">
        <v>46307</v>
      </c>
      <c r="C7" s="15" t="n">
        <v>46311</v>
      </c>
      <c r="D7" s="9" t="inlineStr">
        <is>
          <t>機芯規格交玩具廠；Spotpear 詢價發出</t>
        </is>
      </c>
      <c r="E7" s="10" t="inlineStr">
        <is>
          <t>工廠回覆四個造型的打樣排期；Spotpear 收到詢價和 50 片樣板訂單</t>
        </is>
      </c>
      <c r="F7" s="11" t="inlineStr">
        <is>
          <t>玩具線</t>
        </is>
      </c>
      <c r="G7" s="10" t="inlineStr">
        <is>
          <t>R-01</t>
        </is>
      </c>
      <c r="H7" s="11" t="inlineStr">
        <is>
          <t>進行中</t>
        </is>
      </c>
      <c r="I7" s="15" t="n"/>
      <c r="J7" s="11">
        <f>IF(H7="已完成",IF(I7="","",MAX(0,I7-C7)),IF(TODAY()&gt;C7,TODAY()-C7,""))</f>
        <v/>
      </c>
      <c r="K7" s="10" t="inlineStr"/>
    </row>
    <row r="8" ht="38" customHeight="1">
      <c r="A8" s="7" t="inlineStr">
        <is>
          <t>W2</t>
        </is>
      </c>
      <c r="B8" s="15" t="n">
        <v>46314</v>
      </c>
      <c r="C8" s="15" t="n">
        <v>46318</v>
      </c>
      <c r="D8" s="9" t="inlineStr">
        <is>
          <t>決定改不改板；機芯盒 3D 設計 v1</t>
        </is>
      </c>
      <c r="E8" s="10" t="inlineStr">
        <is>
          <t>放電測試有結論，決定是否改板；收到機芯盒 3D 圖和第一版初樣照片</t>
        </is>
      </c>
      <c r="F8" s="11" t="inlineStr">
        <is>
          <t>玩具線</t>
        </is>
      </c>
      <c r="G8" s="10" t="inlineStr">
        <is>
          <t>R-16、R-17</t>
        </is>
      </c>
      <c r="H8" s="11" t="inlineStr">
        <is>
          <t>未開始</t>
        </is>
      </c>
      <c r="I8" s="15" t="n"/>
      <c r="J8" s="11">
        <f>IF(H8="已完成",IF(I8="","",MAX(0,I8-C8)),IF(TODAY()&gt;C8,TODAY()-C8,""))</f>
        <v/>
      </c>
      <c r="K8" s="10" t="inlineStr"/>
    </row>
    <row r="9" ht="38" customHeight="1">
      <c r="A9" s="7" t="inlineStr">
        <is>
          <t>W3</t>
        </is>
      </c>
      <c r="B9" s="15" t="n">
        <v>46321</v>
      </c>
      <c r="C9" s="15" t="n">
        <v>46325</v>
      </c>
      <c r="D9" s="9" t="inlineStr">
        <is>
          <t>CP1 內部測試就緒；板子定案</t>
        </is>
      </c>
      <c r="E9" s="10" t="inlineStr">
        <is>
          <t>寫下 CP1 go／no-go；板子評分表完成；第一版樣品的修改意見交工廠</t>
        </is>
      </c>
      <c r="F9" s="11" t="inlineStr">
        <is>
          <t>兩條線</t>
        </is>
      </c>
      <c r="G9" s="10" t="inlineStr">
        <is>
          <t>R-13、R-01</t>
        </is>
      </c>
      <c r="H9" s="11" t="inlineStr">
        <is>
          <t>未開始</t>
        </is>
      </c>
      <c r="I9" s="15" t="n"/>
      <c r="J9" s="11">
        <f>IF(H9="已完成",IF(I9="","",MAX(0,I9-C9)),IF(TODAY()&gt;C9,TODAY()-C9,""))</f>
        <v/>
      </c>
      <c r="K9" s="10" t="inlineStr"/>
    </row>
    <row r="10" ht="38" customHeight="1">
      <c r="A10" s="7" t="inlineStr">
        <is>
          <t>W4</t>
        </is>
      </c>
      <c r="B10" s="15" t="n">
        <v>46328</v>
      </c>
      <c r="C10" s="15" t="n">
        <v>46332</v>
      </c>
      <c r="D10" s="9" t="inlineStr">
        <is>
          <t>量產板落單；內部測試開始</t>
        </is>
      </c>
      <c r="E10" s="10" t="inlineStr">
        <is>
          <t>Spotpear 確認 3,000 台加備品的訂單和交期；20 台內部測試機開始使用</t>
        </is>
      </c>
      <c r="F10" s="11" t="inlineStr">
        <is>
          <t>兩條線</t>
        </is>
      </c>
      <c r="G10" s="10" t="inlineStr">
        <is>
          <t>R-07</t>
        </is>
      </c>
      <c r="H10" s="11" t="inlineStr">
        <is>
          <t>未開始</t>
        </is>
      </c>
      <c r="I10" s="15" t="n"/>
      <c r="J10" s="11">
        <f>IF(H10="已完成",IF(I10="","",MAX(0,I10-C10)),IF(TODAY()&gt;C10,TODAY()-C10,""))</f>
        <v/>
      </c>
      <c r="K10" s="10" t="inlineStr"/>
    </row>
    <row r="11" ht="54" customHeight="1">
      <c r="A11" s="7" t="inlineStr">
        <is>
          <t>W5</t>
        </is>
      </c>
      <c r="B11" s="15" t="n">
        <v>46335</v>
      </c>
      <c r="C11" s="15" t="n">
        <v>46339</v>
      </c>
      <c r="D11" s="9" t="inlineStr">
        <is>
          <t>外觀簽樣；出廠韌體凍結項</t>
        </is>
      </c>
      <c r="E11" s="10" t="inlineStr">
        <is>
          <t>快活兩款、政協青年聯會版簽樣（AI Buddy 要出貨也要簽）；分區表、bootloader、加密流程凍結</t>
        </is>
      </c>
      <c r="F11" s="11" t="inlineStr">
        <is>
          <t>兩條線</t>
        </is>
      </c>
      <c r="G11" s="10" t="inlineStr">
        <is>
          <t>P2-12、P0-14</t>
        </is>
      </c>
      <c r="H11" s="11" t="inlineStr">
        <is>
          <t>未開始</t>
        </is>
      </c>
      <c r="I11" s="15" t="n"/>
      <c r="J11" s="11">
        <f>IF(H11="已完成",IF(I11="","",MAX(0,I11-C11)),IF(TODAY()&gt;C11,TODAY()-C11,""))</f>
        <v/>
      </c>
      <c r="K11" s="10" t="inlineStr"/>
    </row>
    <row r="12" ht="38" customHeight="1">
      <c r="A12" s="7" t="inlineStr">
        <is>
          <t>W6</t>
        </is>
      </c>
      <c r="B12" s="15" t="n">
        <v>46342</v>
      </c>
      <c r="C12" s="15" t="n">
        <v>46346</v>
      </c>
      <c r="D12" s="9" t="inlineStr">
        <is>
          <t>成品樣送檢；馬會定兩款數量</t>
        </is>
      </c>
      <c r="E12" s="10" t="inlineStr">
        <is>
          <t>EN71、電池、無線已送檢；馬會書面確認賽馬日版、新春版各多少</t>
        </is>
      </c>
      <c r="F12" s="11" t="inlineStr">
        <is>
          <t>兩條線</t>
        </is>
      </c>
      <c r="G12" s="10" t="inlineStr">
        <is>
          <t>P1-08、Q11</t>
        </is>
      </c>
      <c r="H12" s="11" t="inlineStr">
        <is>
          <t>未開始</t>
        </is>
      </c>
      <c r="I12" s="15" t="n"/>
      <c r="J12" s="11">
        <f>IF(H12="已完成",IF(I12="","",MAX(0,I12-C12)),IF(TODAY()&gt;C12,TODAY()-C12,""))</f>
        <v/>
      </c>
      <c r="K12" s="10" t="inlineStr"/>
    </row>
    <row r="13" ht="54" customHeight="1">
      <c r="A13" s="7" t="inlineStr">
        <is>
          <t>W7</t>
        </is>
      </c>
      <c r="B13" s="15" t="n">
        <v>46349</v>
      </c>
      <c r="C13" s="15" t="n">
        <v>46353</v>
      </c>
      <c r="D13" s="9" t="inlineStr">
        <is>
          <t>CP2；PP 樣簽樣、下大貨單</t>
        </is>
      </c>
      <c r="E13" s="10" t="inlineStr">
        <is>
          <t>寫下 CP2 決定（品牌 C 數量、是否延期）；PP 樣簽字；大貨訂單發出；共用韌體交 Spotpear</t>
        </is>
      </c>
      <c r="F13" s="11" t="inlineStr">
        <is>
          <t>兩條線</t>
        </is>
      </c>
      <c r="G13" s="10" t="inlineStr">
        <is>
          <t>R-08、R-09</t>
        </is>
      </c>
      <c r="H13" s="11" t="inlineStr">
        <is>
          <t>未開始</t>
        </is>
      </c>
      <c r="I13" s="15" t="n"/>
      <c r="J13" s="11">
        <f>IF(H13="已完成",IF(I13="","",MAX(0,I13-C13)),IF(TODAY()&gt;C13,TODAY()-C13,""))</f>
        <v/>
      </c>
      <c r="K13" s="10" t="inlineStr"/>
    </row>
    <row r="14" ht="38" customHeight="1">
      <c r="A14" s="7" t="inlineStr">
        <is>
          <t>W8</t>
        </is>
      </c>
      <c r="B14" s="15" t="n">
        <v>46356</v>
      </c>
      <c r="C14" s="15" t="n">
        <v>46360</v>
      </c>
      <c r="D14" s="9" t="inlineStr">
        <is>
          <t>量產板和物料到廠；三個 App 送審</t>
        </is>
      </c>
      <c r="E14" s="10" t="inlineStr">
        <is>
          <t>量產板、物料、工位電腦和作業指導書到廠；三個 App 已提交 Apple 和 Google</t>
        </is>
      </c>
      <c r="F14" s="11" t="inlineStr">
        <is>
          <t>兩條線</t>
        </is>
      </c>
      <c r="G14" s="10" t="inlineStr">
        <is>
          <t>R-10</t>
        </is>
      </c>
      <c r="H14" s="11" t="inlineStr">
        <is>
          <t>未開始</t>
        </is>
      </c>
      <c r="I14" s="15" t="n"/>
      <c r="J14" s="11">
        <f>IF(H14="已完成",IF(I14="","",MAX(0,I14-C14)),IF(TODAY()&gt;C14,TODAY()-C14,""))</f>
        <v/>
      </c>
      <c r="K14" s="10" t="inlineStr"/>
    </row>
    <row r="15" ht="38" customHeight="1">
      <c r="A15" s="7" t="inlineStr">
        <is>
          <t>W9</t>
        </is>
      </c>
      <c r="B15" s="15" t="n">
        <v>46363</v>
      </c>
      <c r="C15" s="15" t="n">
        <v>46367</v>
      </c>
      <c r="D15" s="9" t="inlineStr">
        <is>
          <t>試產通過；App 審核通過</t>
        </is>
      </c>
      <c r="E15" s="10" t="inlineStr">
        <is>
          <t>試產 50–100 隻全檢合格；三個 App 審核通過；首次 OTA 版本定版；認證報告齊全</t>
        </is>
      </c>
      <c r="F15" s="11" t="inlineStr">
        <is>
          <t>兩條線</t>
        </is>
      </c>
      <c r="G15" s="10" t="inlineStr">
        <is>
          <t>R-10、P1-08</t>
        </is>
      </c>
      <c r="H15" s="11" t="inlineStr">
        <is>
          <t>未開始</t>
        </is>
      </c>
      <c r="I15" s="15" t="n"/>
      <c r="J15" s="11">
        <f>IF(H15="已完成",IF(I15="","",MAX(0,I15-C15)),IF(TODAY()&gt;C15,TODAY()-C15,""))</f>
        <v/>
      </c>
      <c r="K15" s="10" t="inlineStr"/>
    </row>
    <row r="16" ht="38" customHeight="1">
      <c r="A16" s="7" t="inlineStr">
        <is>
          <t>W10</t>
        </is>
      </c>
      <c r="B16" s="15" t="n">
        <v>46370</v>
      </c>
      <c r="C16" s="15" t="n">
        <v>46374</v>
      </c>
      <c r="D16" s="9" t="inlineStr">
        <is>
          <t>大貨開始</t>
        </is>
      </c>
      <c r="E16" s="10" t="inlineStr">
        <is>
          <t>工廠每日回報產量和不良率；上線演練 3 人都在 10 分鐘內完成</t>
        </is>
      </c>
      <c r="F16" s="11" t="inlineStr">
        <is>
          <t>兩條線</t>
        </is>
      </c>
      <c r="G16" s="10" t="inlineStr">
        <is>
          <t>R-06</t>
        </is>
      </c>
      <c r="H16" s="11" t="inlineStr">
        <is>
          <t>未開始</t>
        </is>
      </c>
      <c r="I16" s="15" t="n"/>
      <c r="J16" s="11">
        <f>IF(H16="已完成",IF(I16="","",MAX(0,I16-C16)),IF(TODAY()&gt;C16,TODAY()-C16,""))</f>
        <v/>
      </c>
      <c r="K16" s="10" t="inlineStr"/>
    </row>
    <row r="17" ht="38" customHeight="1">
      <c r="A17" s="7" t="inlineStr">
        <is>
          <t>W11</t>
        </is>
      </c>
      <c r="B17" s="15" t="n">
        <v>46377</v>
      </c>
      <c r="C17" s="15" t="n">
        <v>46381</v>
      </c>
      <c r="D17" s="9" t="inlineStr">
        <is>
          <t>中期驗貨</t>
        </is>
      </c>
      <c r="E17" s="10" t="inlineStr">
        <is>
          <t>中期驗貨報告，不良率在約定範圍內</t>
        </is>
      </c>
      <c r="F17" s="11" t="inlineStr">
        <is>
          <t>玩具線</t>
        </is>
      </c>
      <c r="G17" s="10" t="inlineStr">
        <is>
          <t>R-09</t>
        </is>
      </c>
      <c r="H17" s="11" t="inlineStr">
        <is>
          <t>未開始</t>
        </is>
      </c>
      <c r="I17" s="15" t="n"/>
      <c r="J17" s="11">
        <f>IF(H17="已完成",IF(I17="","",MAX(0,I17-C17)),IF(TODAY()&gt;C17,TODAY()-C17,""))</f>
        <v/>
      </c>
      <c r="K17" s="10" t="inlineStr">
        <is>
          <t>12/25–26 香港公眾假期</t>
        </is>
      </c>
    </row>
    <row r="18" ht="22" customHeight="1">
      <c r="A18" s="7" t="inlineStr">
        <is>
          <t>W12</t>
        </is>
      </c>
      <c r="B18" s="15" t="n">
        <v>46384</v>
      </c>
      <c r="C18" s="15" t="n">
        <v>46388</v>
      </c>
      <c r="D18" s="9" t="inlineStr">
        <is>
          <t>大貨完成</t>
        </is>
      </c>
      <c r="E18" s="10" t="inlineStr">
        <is>
          <t>12/31 前全部大貨完成</t>
        </is>
      </c>
      <c r="F18" s="11" t="inlineStr">
        <is>
          <t>玩具線</t>
        </is>
      </c>
      <c r="G18" s="10" t="inlineStr">
        <is>
          <t>R-09</t>
        </is>
      </c>
      <c r="H18" s="11" t="inlineStr">
        <is>
          <t>未開始</t>
        </is>
      </c>
      <c r="I18" s="15" t="n"/>
      <c r="J18" s="11">
        <f>IF(H18="已完成",IF(I18="","",MAX(0,I18-C18)),IF(TODAY()&gt;C18,TODAY()-C18,""))</f>
        <v/>
      </c>
      <c r="K18" s="10" t="inlineStr">
        <is>
          <t>1/1 元旦</t>
        </is>
      </c>
    </row>
    <row r="19" ht="38" customHeight="1">
      <c r="A19" s="7" t="inlineStr">
        <is>
          <t>W13</t>
        </is>
      </c>
      <c r="B19" s="15" t="n">
        <v>46391</v>
      </c>
      <c r="C19" s="15" t="n">
        <v>46395</v>
      </c>
      <c r="D19" s="9" t="inlineStr">
        <is>
          <t>尾期驗貨通過；客服上線</t>
        </is>
      </c>
      <c r="E19" s="10" t="inlineStr">
        <is>
          <t>AQL 尾期驗貨通過；客服聯絡方式、常見問題、保修條款上線</t>
        </is>
      </c>
      <c r="F19" s="11" t="inlineStr">
        <is>
          <t>兩條線</t>
        </is>
      </c>
      <c r="G19" s="10" t="inlineStr">
        <is>
          <t>R-11</t>
        </is>
      </c>
      <c r="H19" s="11" t="inlineStr">
        <is>
          <t>未開始</t>
        </is>
      </c>
      <c r="I19" s="15" t="n"/>
      <c r="J19" s="11">
        <f>IF(H19="已完成",IF(I19="","",MAX(0,I19-C19)),IF(TODAY()&gt;C19,TODAY()-C19,""))</f>
        <v/>
      </c>
      <c r="K19" s="10" t="inlineStr">
        <is>
          <t>緩衝週</t>
        </is>
      </c>
    </row>
    <row r="20" ht="38" customHeight="1">
      <c r="A20" s="7" t="inlineStr">
        <is>
          <t>W14</t>
        </is>
      </c>
      <c r="B20" s="15" t="n">
        <v>46398</v>
      </c>
      <c r="C20" s="15" t="n">
        <v>46402</v>
      </c>
      <c r="D20" s="9" t="inlineStr">
        <is>
          <t>1/15 出廠</t>
        </is>
      </c>
      <c r="E20" s="10" t="inlineStr">
        <is>
          <t>出貨單、序號與 MAC 對照表；全部設備已登記；三個 App 公開發佈</t>
        </is>
      </c>
      <c r="F20" s="11" t="inlineStr">
        <is>
          <t>兩條線</t>
        </is>
      </c>
      <c r="G20" s="10" t="inlineStr">
        <is>
          <t>R-15</t>
        </is>
      </c>
      <c r="H20" s="11" t="inlineStr">
        <is>
          <t>未開始</t>
        </is>
      </c>
      <c r="I20" s="15" t="n"/>
      <c r="J20" s="11">
        <f>IF(H20="已完成",IF(I20="","",MAX(0,I20-C20)),IF(TODAY()&gt;C20,TODAY()-C20,""))</f>
        <v/>
      </c>
      <c r="K20" s="10" t="inlineStr"/>
    </row>
    <row r="21" ht="22" customHeight="1">
      <c r="A21" s="7" t="inlineStr">
        <is>
          <t>W15–16</t>
        </is>
      </c>
      <c r="B21" s="15" t="n">
        <v>46405</v>
      </c>
      <c r="C21" s="15" t="n">
        <v>46416</v>
      </c>
      <c r="D21" s="9" t="inlineStr">
        <is>
          <t>全部送達</t>
        </is>
      </c>
      <c r="E21" s="10" t="inlineStr">
        <is>
          <t>簽收記錄全部在 1/29 或之前</t>
        </is>
      </c>
      <c r="F21" s="11" t="inlineStr">
        <is>
          <t>玩具線</t>
        </is>
      </c>
      <c r="G21" s="10" t="inlineStr">
        <is>
          <t>R-15</t>
        </is>
      </c>
      <c r="H21" s="11" t="inlineStr">
        <is>
          <t>未開始</t>
        </is>
      </c>
      <c r="I21" s="15" t="n"/>
      <c r="J21" s="11">
        <f>IF(H21="已完成",IF(I21="","",MAX(0,I21-C21)),IF(TODAY()&gt;C21,TODAY()-C21,""))</f>
        <v/>
      </c>
      <c r="K21" s="10" t="inlineStr">
        <is>
          <t>農曆新年 2/6</t>
        </is>
      </c>
    </row>
    <row r="23">
      <c r="A23" s="12" t="inlineStr">
        <is>
          <t>說明</t>
        </is>
      </c>
    </row>
    <row r="24">
      <c r="A24" s="2" t="inlineStr">
        <is>
          <t>狀態：未開始／進行中／已完成／有風險（可能趕不上，要處理）／延誤（已過結束日仍未完成）。</t>
        </is>
      </c>
    </row>
    <row r="25">
      <c r="A25" s="2" t="inlineStr">
        <is>
          <t>黃色底 = 本週。「逾期（天）」由公式計算：未完成且已過結束日，顯示逾期天數；已完成則顯示比計劃晚了幾天。</t>
        </is>
      </c>
    </row>
    <row r="26">
      <c r="A26" s="2" t="inlineStr">
        <is>
          <t>W5（外觀簽樣）、W7（PP 樣和大貨單）、W9（試產）延誤，會直接推遲 1/15 出廠，要即時處理。</t>
        </is>
      </c>
    </row>
    <row r="27">
      <c r="A27" s="2" t="inlineStr">
        <is>
          <t>改動日期或里程碑時，在「變更記錄」記一行。</t>
        </is>
      </c>
    </row>
  </sheetData>
  <mergeCells count="7">
    <mergeCell ref="A26:K26"/>
    <mergeCell ref="A25:K25"/>
    <mergeCell ref="A24:K24"/>
    <mergeCell ref="A2:K2"/>
    <mergeCell ref="A1:K1"/>
    <mergeCell ref="A23:K23"/>
    <mergeCell ref="A27:K27"/>
  </mergeCells>
  <conditionalFormatting sqref="A7:K21">
    <cfRule type="expression" priority="1" dxfId="0">
      <formula>AND(TODAY()&gt;=$B7,TODAY()&lt;=$C7+2)</formula>
    </cfRule>
  </conditionalFormatting>
  <conditionalFormatting sqref="H7:H21">
    <cfRule type="cellIs" priority="2" operator="equal" dxfId="1">
      <formula>"已完成"</formula>
    </cfRule>
    <cfRule type="cellIs" priority="3" operator="equal" dxfId="2">
      <formula>"進行中"</formula>
    </cfRule>
    <cfRule type="cellIs" priority="4" operator="equal" dxfId="3">
      <formula>"有風險"</formula>
    </cfRule>
    <cfRule type="cellIs" priority="5" operator="equal" dxfId="4">
      <formula>"延誤"</formula>
    </cfRule>
  </conditionalFormatting>
  <conditionalFormatting sqref="J7:J21">
    <cfRule type="cellIs" priority="6" operator="greaterThan" dxfId="5">
      <formula>0</formula>
    </cfRule>
  </conditionalFormatting>
  <dataValidations count="2">
    <dataValidation sqref="H7:H21" showDropDown="0" showInputMessage="0" showErrorMessage="0" allowBlank="0" error="請從清單選擇：未開始、進行中、已完成、有風險、延誤" type="list">
      <formula1>"未開始,進行中,已完成,有風險,延誤"</formula1>
    </dataValidation>
    <dataValidation sqref="I7:I21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22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44" customWidth="1" min="4" max="4"/>
    <col width="8" customWidth="1" min="5" max="5"/>
    <col width="8" customWidth="1" min="6" max="6"/>
    <col width="40" customWidth="1" min="7" max="7"/>
    <col width="13" customWidth="1" min="8" max="8"/>
    <col width="12" customWidth="1" min="9" max="9"/>
    <col width="9" customWidth="1" min="10" max="10"/>
    <col width="12" customWidth="1" min="11" max="11"/>
    <col width="9" customWidth="1" min="12" max="12"/>
    <col width="26" customWidth="1" min="13" max="13"/>
  </cols>
  <sheetData>
    <row r="1">
      <c r="A1" s="1" t="inlineStr">
        <is>
          <t>Jacky 開發與測試細項</t>
        </is>
      </c>
    </row>
    <row r="2" ht="30" customHeight="1">
      <c r="A2" s="16" t="inlineStr">
        <is>
          <t>由時間表拆出來，只列 Jacky 負責或參與的開發和測試。每週五更新「狀態」和「實際完成日期」。週里程碑看「時間表」，計劃看 docs/roadmap.md，任務細節看 production-readiness.xlsx。</t>
        </is>
      </c>
    </row>
    <row r="4" ht="22" customHeight="1">
      <c r="A4" s="17">
        <f>"開發項目：已完成 "&amp;COUNTIFS($B$7:$B$117,"開發",$J$7:$J$117,"已完成")&amp;" / "&amp;COUNTIF($B$7:$B$117,"開發")</f>
        <v/>
      </c>
      <c r="B4" s="18" t="n"/>
      <c r="C4" s="18" t="n"/>
      <c r="D4" s="19" t="n"/>
      <c r="E4" s="17">
        <f>"測試項目：已完成 "&amp;COUNTIFS($B$7:$B$117,"測試",$J$7:$J$117,"已完成")&amp;" / "&amp;COUNTIF($B$7:$B$117,"測試")</f>
        <v/>
      </c>
      <c r="F4" s="18" t="n"/>
      <c r="G4" s="19" t="n"/>
      <c r="H4" s="17">
        <f>"逾期未完成："&amp;COUNTIF($L$7:$L$117,"&gt;0")</f>
        <v/>
      </c>
      <c r="I4" s="18" t="n"/>
      <c r="J4" s="19" t="n"/>
      <c r="K4" s="17">
        <f>"本週到期未完成："&amp;COUNTIFS($F$7:$F$117,"&gt;="&amp;(TODAY()-WEEKDAY(TODAY(),3)),$F$7:$F$117,"&lt;="&amp;((TODAY()-WEEKDAY(TODAY(),3))+6),$J$7:$J$117,"&lt;&gt;已完成")</f>
        <v/>
      </c>
      <c r="L4" s="18" t="n"/>
      <c r="M4" s="19" t="n"/>
    </row>
    <row r="6" ht="36" customHeight="1">
      <c r="A6" s="6" t="inlineStr">
        <is>
          <t>編號</t>
        </is>
      </c>
      <c r="B6" s="6" t="inlineStr">
        <is>
          <t>類型</t>
        </is>
      </c>
      <c r="C6" s="6" t="inlineStr">
        <is>
          <t>工作線</t>
        </is>
      </c>
      <c r="D6" s="6" t="inlineStr">
        <is>
          <t>項目</t>
        </is>
      </c>
      <c r="E6" s="6" t="inlineStr">
        <is>
          <t>開始</t>
        </is>
      </c>
      <c r="F6" s="6" t="inlineStr">
        <is>
          <t>完成</t>
        </is>
      </c>
      <c r="G6" s="6" t="inlineStr">
        <is>
          <t>怎樣算完成</t>
        </is>
      </c>
      <c r="H6" s="6" t="inlineStr">
        <is>
          <t>對應任務</t>
        </is>
      </c>
      <c r="I6" s="6" t="inlineStr">
        <is>
          <t>負責</t>
        </is>
      </c>
      <c r="J6" s="6" t="inlineStr">
        <is>
          <t>狀態</t>
        </is>
      </c>
      <c r="K6" s="6" t="inlineStr">
        <is>
          <t>實際完成日期</t>
        </is>
      </c>
      <c r="L6" s="6" t="inlineStr">
        <is>
          <t>逾期（天）</t>
        </is>
      </c>
      <c r="M6" s="6" t="inlineStr">
        <is>
          <t>備註</t>
        </is>
      </c>
    </row>
    <row r="7" ht="34" customHeight="1">
      <c r="A7" s="20" t="n">
        <v>1</v>
      </c>
      <c r="B7" s="20" t="inlineStr">
        <is>
          <t>開發</t>
        </is>
      </c>
      <c r="C7" s="21" t="inlineStr">
        <is>
          <t>App 接口參數</t>
        </is>
      </c>
      <c r="D7" s="21" t="inlineStr">
        <is>
          <t>接口文件改成每個品牌一套系統：各品牌網址、bundle id、深層連結網域</t>
        </is>
      </c>
      <c r="E7" s="22" t="n">
        <v>46314</v>
      </c>
      <c r="F7" s="22" t="n">
        <v>46316</v>
      </c>
      <c r="G7" s="21" t="inlineStr">
        <is>
          <t>v0.1 文件裡所有網址、登入回調、深層連結都按品牌分開寫</t>
        </is>
      </c>
      <c r="H7" s="21" t="inlineStr">
        <is>
          <t>R-26</t>
        </is>
      </c>
      <c r="I7" s="21" t="inlineStr">
        <is>
          <t>Jacky</t>
        </is>
      </c>
      <c r="J7" s="20" t="inlineStr">
        <is>
          <t>未開始</t>
        </is>
      </c>
      <c r="K7" s="22" t="n"/>
      <c r="L7" s="20">
        <f>IF(J7="已完成",IF(K7="","",MAX(0,K7-F7)),IF(TODAY()&gt;F7,TODAY()-F7,""))</f>
        <v/>
      </c>
      <c r="M7" s="21" t="inlineStr">
        <is>
          <t>v0.1 是改架構前寫的</t>
        </is>
      </c>
    </row>
    <row r="8" ht="49" customHeight="1">
      <c r="A8" s="23" t="n">
        <v>2</v>
      </c>
      <c r="B8" s="23" t="inlineStr">
        <is>
          <t>開發</t>
        </is>
      </c>
      <c r="C8" s="24" t="inlineStr">
        <is>
          <t>App 接口參數</t>
        </is>
      </c>
      <c r="D8" s="24" t="inlineStr">
        <is>
          <t>六個接口寫明參數、回傳和錯誤碼：藍牙配網、原生登入、推送、麥克風、刪除帳號、深層連結</t>
        </is>
      </c>
      <c r="E8" s="25" t="n">
        <v>46314</v>
      </c>
      <c r="F8" s="25" t="n">
        <v>46317</v>
      </c>
      <c r="G8" s="24" t="inlineStr">
        <is>
          <t>每個接口都有呼叫例子和每種錯誤的處理方式</t>
        </is>
      </c>
      <c r="H8" s="24" t="inlineStr">
        <is>
          <t>R-26</t>
        </is>
      </c>
      <c r="I8" s="24" t="inlineStr">
        <is>
          <t>Jacky</t>
        </is>
      </c>
      <c r="J8" s="23" t="inlineStr">
        <is>
          <t>未開始</t>
        </is>
      </c>
      <c r="K8" s="25" t="n"/>
      <c r="L8" s="23">
        <f>IF(J8="已完成",IF(K8="","",MAX(0,K8-F8)),IF(TODAY()&gt;F8,TODAY()-F8,""))</f>
        <v/>
      </c>
      <c r="M8" s="24" t="inlineStr"/>
    </row>
    <row r="9" ht="34" customHeight="1">
      <c r="A9" s="23" t="n">
        <v>3</v>
      </c>
      <c r="B9" s="23" t="inlineStr">
        <is>
          <t>開發</t>
        </is>
      </c>
      <c r="C9" s="24" t="inlineStr">
        <is>
          <t>App 接口參數</t>
        </is>
      </c>
      <c r="D9" s="24" t="inlineStr">
        <is>
          <t>定兩個 App 的名稱、bundle id、深層連結網域</t>
        </is>
      </c>
      <c r="E9" s="25" t="n">
        <v>46314</v>
      </c>
      <c r="F9" s="25" t="n">
        <v>46317</v>
      </c>
      <c r="G9" s="24" t="inlineStr">
        <is>
          <t>快活、政協青年聯會各一組，寫進接口文件</t>
        </is>
      </c>
      <c r="H9" s="24" t="inlineStr">
        <is>
          <t>R-26、R-32</t>
        </is>
      </c>
      <c r="I9" s="24" t="inlineStr">
        <is>
          <t>Jacky、待定</t>
        </is>
      </c>
      <c r="J9" s="23" t="inlineStr">
        <is>
          <t>未開始</t>
        </is>
      </c>
      <c r="K9" s="25" t="n"/>
      <c r="L9" s="23">
        <f>IF(J9="已完成",IF(K9="","",MAX(0,K9-F9)),IF(TODAY()&gt;F9,TODAY()-F9,""))</f>
        <v/>
      </c>
      <c r="M9" s="24" t="inlineStr">
        <is>
          <t>名稱要客戶確認</t>
        </is>
      </c>
    </row>
    <row r="10" ht="34" customHeight="1">
      <c r="A10" s="23" t="n">
        <v>4</v>
      </c>
      <c r="B10" s="26" t="inlineStr">
        <is>
          <t>測試</t>
        </is>
      </c>
      <c r="C10" s="24" t="inlineStr">
        <is>
          <t>App 接口參數</t>
        </is>
      </c>
      <c r="D10" s="24" t="inlineStr">
        <is>
          <t>和 App 殼負責人（待定）逐項過一遍接口文件</t>
        </is>
      </c>
      <c r="E10" s="25" t="n">
        <v>46318</v>
      </c>
      <c r="F10" s="25" t="n">
        <v>46318</v>
      </c>
      <c r="G10" s="24" t="inlineStr">
        <is>
          <t>App 殼負責人（待定）確認每項看得懂、可以開發；問題都已回覆並改進文件</t>
        </is>
      </c>
      <c r="H10" s="24" t="inlineStr">
        <is>
          <t>R-26</t>
        </is>
      </c>
      <c r="I10" s="24" t="inlineStr">
        <is>
          <t>Jacky、待定</t>
        </is>
      </c>
      <c r="J10" s="23" t="inlineStr">
        <is>
          <t>未開始</t>
        </is>
      </c>
      <c r="K10" s="25" t="n"/>
      <c r="L10" s="23">
        <f>IF(J10="已完成",IF(K10="","",MAX(0,K10-F10)),IF(TODAY()&gt;F10,TODAY()-F10,""))</f>
        <v/>
      </c>
      <c r="M10" s="24" t="inlineStr"/>
    </row>
    <row r="11" ht="49" customHeight="1">
      <c r="A11" s="20" t="n">
        <v>5</v>
      </c>
      <c r="B11" s="20" t="inlineStr">
        <is>
          <t>開發</t>
        </is>
      </c>
      <c r="C11" s="21" t="inlineStr">
        <is>
          <t>網頁：三套外觀和登入</t>
        </is>
      </c>
      <c r="D11" s="21" t="inlineStr">
        <is>
          <t>品牌設定：環境變數選品牌，載入外觀包（顏色、字體、logo、圖示、文案、功能開關）</t>
        </is>
      </c>
      <c r="E11" s="22" t="n">
        <v>46307</v>
      </c>
      <c r="F11" s="22" t="n">
        <v>46316</v>
      </c>
      <c r="G11" s="21" t="inlineStr">
        <is>
          <t>改一個環境變數就切換品牌，不用改程式</t>
        </is>
      </c>
      <c r="H11" s="21" t="inlineStr">
        <is>
          <t>R-25</t>
        </is>
      </c>
      <c r="I11" s="21" t="inlineStr">
        <is>
          <t>Jacky</t>
        </is>
      </c>
      <c r="J11" s="20" t="inlineStr">
        <is>
          <t>未開始</t>
        </is>
      </c>
      <c r="K11" s="22" t="n"/>
      <c r="L11" s="20">
        <f>IF(J11="已完成",IF(K11="","",MAX(0,K11-F11)),IF(TODAY()&gt;F11,TODAY()-F11,""))</f>
        <v/>
      </c>
      <c r="M11" s="21" t="inlineStr"/>
    </row>
    <row r="12" ht="34" customHeight="1">
      <c r="A12" s="23" t="n">
        <v>6</v>
      </c>
      <c r="B12" s="23" t="inlineStr">
        <is>
          <t>開發</t>
        </is>
      </c>
      <c r="C12" s="24" t="inlineStr">
        <is>
          <t>網頁：三套外觀和登入</t>
        </is>
      </c>
      <c r="D12" s="24" t="inlineStr">
        <is>
          <t>現有頁面裡寫死的顏色、文字、logo 改用外觀包</t>
        </is>
      </c>
      <c r="E12" s="25" t="n">
        <v>46314</v>
      </c>
      <c r="F12" s="25" t="n">
        <v>46318</v>
      </c>
      <c r="G12" s="24" t="inlineStr">
        <is>
          <t>共用元件裡沒有品牌名和寫死的顏色</t>
        </is>
      </c>
      <c r="H12" s="24" t="inlineStr">
        <is>
          <t>R-25</t>
        </is>
      </c>
      <c r="I12" s="24" t="inlineStr">
        <is>
          <t>Jacky</t>
        </is>
      </c>
      <c r="J12" s="23" t="inlineStr">
        <is>
          <t>未開始</t>
        </is>
      </c>
      <c r="K12" s="25" t="n"/>
      <c r="L12" s="23">
        <f>IF(J12="已完成",IF(K12="","",MAX(0,K12-F12)),IF(TODAY()&gt;F12,TODAY()-F12,""))</f>
        <v/>
      </c>
      <c r="M12" s="24" t="inlineStr"/>
    </row>
    <row r="13" ht="34" customHeight="1">
      <c r="A13" s="23" t="n">
        <v>7</v>
      </c>
      <c r="B13" s="23" t="inlineStr">
        <is>
          <t>開發</t>
        </is>
      </c>
      <c r="C13" s="24" t="inlineStr">
        <is>
          <t>網頁：三套外觀和登入</t>
        </is>
      </c>
      <c r="D13" s="24" t="inlineStr">
        <is>
          <t>快活、政協青年聯會、AI Buddy 三個外觀包（先用暫定設計）</t>
        </is>
      </c>
      <c r="E13" s="25" t="n">
        <v>46317</v>
      </c>
      <c r="F13" s="25" t="n">
        <v>46322</v>
      </c>
      <c r="G13" s="24" t="inlineStr">
        <is>
          <t>三個品牌都能啟動；設計負責人（待定）11/6 交設計稿後再換成正式設計</t>
        </is>
      </c>
      <c r="H13" s="24" t="inlineStr">
        <is>
          <t>R-25</t>
        </is>
      </c>
      <c r="I13" s="24" t="inlineStr">
        <is>
          <t>Jacky</t>
        </is>
      </c>
      <c r="J13" s="23" t="inlineStr">
        <is>
          <t>未開始</t>
        </is>
      </c>
      <c r="K13" s="25" t="n"/>
      <c r="L13" s="23">
        <f>IF(J13="已完成",IF(K13="","",MAX(0,K13-F13)),IF(TODAY()&gt;F13,TODAY()-F13,""))</f>
        <v/>
      </c>
      <c r="M13" s="24" t="inlineStr"/>
    </row>
    <row r="14" ht="34" customHeight="1">
      <c r="A14" s="23" t="n">
        <v>8</v>
      </c>
      <c r="B14" s="23" t="inlineStr">
        <is>
          <t>開發</t>
        </is>
      </c>
      <c r="C14" s="24" t="inlineStr">
        <is>
          <t>網頁：三套外觀和登入</t>
        </is>
      </c>
      <c r="D14" s="24" t="inlineStr">
        <is>
          <t>email 驗證碼登入（取代 email 連結）</t>
        </is>
      </c>
      <c r="E14" s="25" t="n">
        <v>46321</v>
      </c>
      <c r="F14" s="25" t="n">
        <v>46323</v>
      </c>
      <c r="G14" s="24" t="inlineStr">
        <is>
          <t>在 App 內收碼、輸入、登入，不用跳出 App</t>
        </is>
      </c>
      <c r="H14" s="24" t="inlineStr">
        <is>
          <t>R-27</t>
        </is>
      </c>
      <c r="I14" s="24" t="inlineStr">
        <is>
          <t>Jacky</t>
        </is>
      </c>
      <c r="J14" s="23" t="inlineStr">
        <is>
          <t>未開始</t>
        </is>
      </c>
      <c r="K14" s="25" t="n"/>
      <c r="L14" s="23">
        <f>IF(J14="已完成",IF(K14="","",MAX(0,K14-F14)),IF(TODAY()&gt;F14,TODAY()-F14,""))</f>
        <v/>
      </c>
      <c r="M14" s="24" t="inlineStr">
        <is>
          <t>WebView 裡 email 連結會失效</t>
        </is>
      </c>
    </row>
    <row r="15" ht="34" customHeight="1">
      <c r="A15" s="23" t="n">
        <v>9</v>
      </c>
      <c r="B15" s="23" t="inlineStr">
        <is>
          <t>開發</t>
        </is>
      </c>
      <c r="C15" s="24" t="inlineStr">
        <is>
          <t>網頁：三套外觀和登入</t>
        </is>
      </c>
      <c r="D15" s="24" t="inlineStr">
        <is>
          <t>接收殼傳來的 Google／Apple 登入憑證並登入</t>
        </is>
      </c>
      <c r="E15" s="25" t="n">
        <v>46322</v>
      </c>
      <c r="F15" s="25" t="n">
        <v>46324</v>
      </c>
      <c r="G15" s="24" t="inlineStr">
        <is>
          <t>網頁收到 id token 後用 signInWithIdToken 登入</t>
        </is>
      </c>
      <c r="H15" s="24" t="inlineStr">
        <is>
          <t>R-27</t>
        </is>
      </c>
      <c r="I15" s="24" t="inlineStr">
        <is>
          <t>Jacky</t>
        </is>
      </c>
      <c r="J15" s="23" t="inlineStr">
        <is>
          <t>未開始</t>
        </is>
      </c>
      <c r="K15" s="25" t="n"/>
      <c r="L15" s="23">
        <f>IF(J15="已完成",IF(K15="","",MAX(0,K15-F15)),IF(TODAY()&gt;F15,TODAY()-F15,""))</f>
        <v/>
      </c>
      <c r="M15" s="24" t="inlineStr"/>
    </row>
    <row r="16" ht="34" customHeight="1">
      <c r="A16" s="23" t="n">
        <v>10</v>
      </c>
      <c r="B16" s="23" t="inlineStr">
        <is>
          <t>開發</t>
        </is>
      </c>
      <c r="C16" s="24" t="inlineStr">
        <is>
          <t>網頁：三套外觀和登入</t>
        </is>
      </c>
      <c r="D16" s="24" t="inlineStr">
        <is>
          <t>App 內刪除帳號</t>
        </is>
      </c>
      <c r="E16" s="25" t="n">
        <v>46323</v>
      </c>
      <c r="F16" s="25" t="n">
        <v>46325</v>
      </c>
      <c r="G16" s="24" t="inlineStr">
        <is>
          <t>刪除資料、解綁所有設備，之後不能再用舊帳號登入</t>
        </is>
      </c>
      <c r="H16" s="24" t="inlineStr">
        <is>
          <t>R-27</t>
        </is>
      </c>
      <c r="I16" s="24" t="inlineStr">
        <is>
          <t>Jacky</t>
        </is>
      </c>
      <c r="J16" s="23" t="inlineStr">
        <is>
          <t>未開始</t>
        </is>
      </c>
      <c r="K16" s="25" t="n"/>
      <c r="L16" s="23">
        <f>IF(J16="已完成",IF(K16="","",MAX(0,K16-F16)),IF(TODAY()&gt;F16,TODAY()-F16,""))</f>
        <v/>
      </c>
      <c r="M16" s="24" t="inlineStr">
        <is>
          <t>蘋果審核規則 5.1.1(v)</t>
        </is>
      </c>
    </row>
    <row r="17" ht="34" customHeight="1">
      <c r="A17" s="23" t="n">
        <v>11</v>
      </c>
      <c r="B17" s="26" t="inlineStr">
        <is>
          <t>測試</t>
        </is>
      </c>
      <c r="C17" s="24" t="inlineStr">
        <is>
          <t>網頁：三套外觀和登入</t>
        </is>
      </c>
      <c r="D17" s="24" t="inlineStr">
        <is>
          <t>三個品牌各啟動一次，截圖對比；搜尋共用元件裡的品牌名和顏色值</t>
        </is>
      </c>
      <c r="E17" s="25" t="n">
        <v>46325</v>
      </c>
      <c r="F17" s="25" t="n">
        <v>46325</v>
      </c>
      <c r="G17" s="24" t="inlineStr">
        <is>
          <t>三套外觀都正確；搜尋結果為 0</t>
        </is>
      </c>
      <c r="H17" s="24" t="inlineStr">
        <is>
          <t>R-25</t>
        </is>
      </c>
      <c r="I17" s="24" t="inlineStr">
        <is>
          <t>Jacky</t>
        </is>
      </c>
      <c r="J17" s="23" t="inlineStr">
        <is>
          <t>未開始</t>
        </is>
      </c>
      <c r="K17" s="25" t="n"/>
      <c r="L17" s="23">
        <f>IF(J17="已完成",IF(K17="","",MAX(0,K17-F17)),IF(TODAY()&gt;F17,TODAY()-F17,""))</f>
        <v/>
      </c>
      <c r="M17" s="24" t="inlineStr"/>
    </row>
    <row r="18" ht="34" customHeight="1">
      <c r="A18" s="23" t="n">
        <v>12</v>
      </c>
      <c r="B18" s="26" t="inlineStr">
        <is>
          <t>測試</t>
        </is>
      </c>
      <c r="C18" s="24" t="inlineStr">
        <is>
          <t>網頁：三套外觀和登入</t>
        </is>
      </c>
      <c r="D18" s="24" t="inlineStr">
        <is>
          <t>驗證碼登入：正確、錯誤、過期、重發</t>
        </is>
      </c>
      <c r="E18" s="25" t="n">
        <v>46325</v>
      </c>
      <c r="F18" s="25" t="n">
        <v>46325</v>
      </c>
      <c r="G18" s="24" t="inlineStr">
        <is>
          <t>四種情況都有正確結果和清楚提示</t>
        </is>
      </c>
      <c r="H18" s="24" t="inlineStr">
        <is>
          <t>R-27</t>
        </is>
      </c>
      <c r="I18" s="24" t="inlineStr">
        <is>
          <t>Jacky</t>
        </is>
      </c>
      <c r="J18" s="23" t="inlineStr">
        <is>
          <t>未開始</t>
        </is>
      </c>
      <c r="K18" s="25" t="n"/>
      <c r="L18" s="23">
        <f>IF(J18="已完成",IF(K18="","",MAX(0,K18-F18)),IF(TODAY()&gt;F18,TODAY()-F18,""))</f>
        <v/>
      </c>
      <c r="M18" s="24" t="inlineStr"/>
    </row>
    <row r="19" ht="34" customHeight="1">
      <c r="A19" s="23" t="n">
        <v>13</v>
      </c>
      <c r="B19" s="26" t="inlineStr">
        <is>
          <t>測試</t>
        </is>
      </c>
      <c r="C19" s="24" t="inlineStr">
        <is>
          <t>網頁：三套外觀和登入</t>
        </is>
      </c>
      <c r="D19" s="24" t="inlineStr">
        <is>
          <t>刪除帳號後檢查資料庫</t>
        </is>
      </c>
      <c r="E19" s="25" t="n">
        <v>46325</v>
      </c>
      <c r="F19" s="25" t="n">
        <v>46325</v>
      </c>
      <c r="G19" s="24" t="inlineStr">
        <is>
          <t>該用戶的資料全部刪除；設備變回未認領</t>
        </is>
      </c>
      <c r="H19" s="24" t="inlineStr">
        <is>
          <t>R-27</t>
        </is>
      </c>
      <c r="I19" s="24" t="inlineStr">
        <is>
          <t>Jacky</t>
        </is>
      </c>
      <c r="J19" s="23" t="inlineStr">
        <is>
          <t>未開始</t>
        </is>
      </c>
      <c r="K19" s="25" t="n"/>
      <c r="L19" s="23">
        <f>IF(J19="已完成",IF(K19="","",MAX(0,K19-F19)),IF(TODAY()&gt;F19,TODAY()-F19,""))</f>
        <v/>
      </c>
      <c r="M19" s="24" t="inlineStr"/>
    </row>
    <row r="20" ht="34" customHeight="1">
      <c r="A20" s="23" t="n">
        <v>14</v>
      </c>
      <c r="B20" s="26" t="inlineStr">
        <is>
          <t>測試</t>
        </is>
      </c>
      <c r="C20" s="24" t="inlineStr">
        <is>
          <t>網頁：三套外觀和登入</t>
        </is>
      </c>
      <c r="D20" s="24" t="inlineStr">
        <is>
          <t>在 App 殼負責人（待定）的測試版殼裡用 Google、Apple 登入</t>
        </is>
      </c>
      <c r="E20" s="25" t="n">
        <v>46346</v>
      </c>
      <c r="F20" s="25" t="n">
        <v>46346</v>
      </c>
      <c r="G20" s="24" t="inlineStr">
        <is>
          <t>iPhone 用 Apple 和 Google、Android 用 Google，都能登入</t>
        </is>
      </c>
      <c r="H20" s="24" t="inlineStr">
        <is>
          <t>R-27</t>
        </is>
      </c>
      <c r="I20" s="24" t="inlineStr">
        <is>
          <t>Jacky、待定</t>
        </is>
      </c>
      <c r="J20" s="23" t="inlineStr">
        <is>
          <t>未開始</t>
        </is>
      </c>
      <c r="K20" s="25" t="n"/>
      <c r="L20" s="23">
        <f>IF(J20="已完成",IF(K20="","",MAX(0,K20-F20)),IF(TODAY()&gt;F20,TODAY()-F20,""))</f>
        <v/>
      </c>
      <c r="M20" s="24" t="inlineStr">
        <is>
          <t>要等殼的測試版</t>
        </is>
      </c>
    </row>
    <row r="21" ht="34" customHeight="1">
      <c r="A21" s="20" t="n">
        <v>15</v>
      </c>
      <c r="B21" s="27" t="inlineStr">
        <is>
          <t>測試</t>
        </is>
      </c>
      <c r="C21" s="21" t="inlineStr">
        <is>
          <t>韌體：藍牙配網</t>
        </is>
      </c>
      <c r="D21" s="21" t="inlineStr">
        <is>
          <t>記錄現在對話時的最低可用記憶體，作為基準</t>
        </is>
      </c>
      <c r="E21" s="22" t="n">
        <v>46314</v>
      </c>
      <c r="F21" s="22" t="n">
        <v>46314</v>
      </c>
      <c r="G21" s="21" t="inlineStr">
        <is>
          <t>連續對話 10 分鐘，記下最低可用記憶體</t>
        </is>
      </c>
      <c r="H21" s="21" t="inlineStr">
        <is>
          <t>R-21</t>
        </is>
      </c>
      <c r="I21" s="21" t="inlineStr">
        <is>
          <t>Jacky</t>
        </is>
      </c>
      <c r="J21" s="20" t="inlineStr">
        <is>
          <t>未開始</t>
        </is>
      </c>
      <c r="K21" s="22" t="n"/>
      <c r="L21" s="20">
        <f>IF(J21="已完成",IF(K21="","",MAX(0,K21-F21)),IF(TODAY()&gt;F21,TODAY()-F21,""))</f>
        <v/>
      </c>
      <c r="M21" s="21" t="inlineStr"/>
    </row>
    <row r="22" ht="34" customHeight="1">
      <c r="A22" s="23" t="n">
        <v>16</v>
      </c>
      <c r="B22" s="23" t="inlineStr">
        <is>
          <t>開發</t>
        </is>
      </c>
      <c r="C22" s="24" t="inlineStr">
        <is>
          <t>韌體：藍牙配網</t>
        </is>
      </c>
      <c r="D22" s="24" t="inlineStr">
        <is>
          <t>藍牙廣播（名稱帶品牌和 MAC 尾碼）和配網服務</t>
        </is>
      </c>
      <c r="E22" s="25" t="n">
        <v>46314</v>
      </c>
      <c r="F22" s="25" t="n">
        <v>46317</v>
      </c>
      <c r="G22" s="24" t="inlineStr">
        <is>
          <t>手機掃描得到玩具，看得出品牌</t>
        </is>
      </c>
      <c r="H22" s="24" t="inlineStr">
        <is>
          <t>R-21</t>
        </is>
      </c>
      <c r="I22" s="24" t="inlineStr">
        <is>
          <t>Jacky</t>
        </is>
      </c>
      <c r="J22" s="23" t="inlineStr">
        <is>
          <t>未開始</t>
        </is>
      </c>
      <c r="K22" s="25" t="n"/>
      <c r="L22" s="23">
        <f>IF(J22="已完成",IF(K22="","",MAX(0,K22-F22)),IF(TODAY()&gt;F22,TODAY()-F22,""))</f>
        <v/>
      </c>
      <c r="M22" s="24" t="inlineStr"/>
    </row>
    <row r="23" ht="34" customHeight="1">
      <c r="A23" s="23" t="n">
        <v>17</v>
      </c>
      <c r="B23" s="23" t="inlineStr">
        <is>
          <t>開發</t>
        </is>
      </c>
      <c r="C23" s="24" t="inlineStr">
        <is>
          <t>韌體：藍牙配網</t>
        </is>
      </c>
      <c r="D23" s="24" t="inlineStr">
        <is>
          <t>掃描 Wi-Fi 回傳清單；收 Wi-Fi 名稱、密碼和綁定票</t>
        </is>
      </c>
      <c r="E23" s="25" t="n">
        <v>46317</v>
      </c>
      <c r="F23" s="25" t="n">
        <v>46322</v>
      </c>
      <c r="G23" s="24" t="inlineStr">
        <is>
          <t>手機收到 Wi-Fi 清單；玩具收到三項資料</t>
        </is>
      </c>
      <c r="H23" s="24" t="inlineStr">
        <is>
          <t>R-21</t>
        </is>
      </c>
      <c r="I23" s="24" t="inlineStr">
        <is>
          <t>Jacky</t>
        </is>
      </c>
      <c r="J23" s="23" t="inlineStr">
        <is>
          <t>未開始</t>
        </is>
      </c>
      <c r="K23" s="25" t="n"/>
      <c r="L23" s="23">
        <f>IF(J23="已完成",IF(K23="","",MAX(0,K23-F23)),IF(TODAY()&gt;F23,TODAY()-F23,""))</f>
        <v/>
      </c>
      <c r="M23" s="24" t="inlineStr"/>
    </row>
    <row r="24" ht="34" customHeight="1">
      <c r="A24" s="23" t="n">
        <v>18</v>
      </c>
      <c r="B24" s="23" t="inlineStr">
        <is>
          <t>開發</t>
        </is>
      </c>
      <c r="C24" s="24" t="inlineStr">
        <is>
          <t>韌體：藍牙配網</t>
        </is>
      </c>
      <c r="D24" s="24" t="inlineStr">
        <is>
          <t>連上 Wi-Fi 後用綁定票向伺服器認領，把結果回傳手機</t>
        </is>
      </c>
      <c r="E24" s="25" t="n">
        <v>46321</v>
      </c>
      <c r="F24" s="25" t="n">
        <v>46323</v>
      </c>
      <c r="G24" s="24" t="inlineStr">
        <is>
          <t>成功和每種失敗都回傳對應的錯誤碼</t>
        </is>
      </c>
      <c r="H24" s="24" t="inlineStr">
        <is>
          <t>R-21、P0-11</t>
        </is>
      </c>
      <c r="I24" s="24" t="inlineStr">
        <is>
          <t>Jacky</t>
        </is>
      </c>
      <c r="J24" s="23" t="inlineStr">
        <is>
          <t>未開始</t>
        </is>
      </c>
      <c r="K24" s="25" t="n"/>
      <c r="L24" s="23">
        <f>IF(J24="已完成",IF(K24="","",MAX(0,K24-F24)),IF(TODAY()&gt;F24,TODAY()-F24,""))</f>
        <v/>
      </c>
      <c r="M24" s="24" t="inlineStr"/>
    </row>
    <row r="25" ht="34" customHeight="1">
      <c r="A25" s="23" t="n">
        <v>19</v>
      </c>
      <c r="B25" s="23" t="inlineStr">
        <is>
          <t>開發</t>
        </is>
      </c>
      <c r="C25" s="24" t="inlineStr">
        <is>
          <t>韌體：藍牙配網</t>
        </is>
      </c>
      <c r="D25" s="24" t="inlineStr">
        <is>
          <t>配網完成後關閉藍牙、釋放記憶體</t>
        </is>
      </c>
      <c r="E25" s="25" t="n">
        <v>46323</v>
      </c>
      <c r="F25" s="25" t="n">
        <v>46324</v>
      </c>
      <c r="G25" s="24" t="inlineStr">
        <is>
          <t>配網後可用記憶體回到基準水平</t>
        </is>
      </c>
      <c r="H25" s="24" t="inlineStr">
        <is>
          <t>R-21</t>
        </is>
      </c>
      <c r="I25" s="24" t="inlineStr">
        <is>
          <t>Jacky</t>
        </is>
      </c>
      <c r="J25" s="23" t="inlineStr">
        <is>
          <t>未開始</t>
        </is>
      </c>
      <c r="K25" s="25" t="n"/>
      <c r="L25" s="23">
        <f>IF(J25="已完成",IF(K25="","",MAX(0,K25-F25)),IF(TODAY()&gt;F25,TODAY()-F25,""))</f>
        <v/>
      </c>
      <c r="M25" s="24" t="inlineStr"/>
    </row>
    <row r="26" ht="34" customHeight="1">
      <c r="A26" s="23" t="n">
        <v>20</v>
      </c>
      <c r="B26" s="26" t="inlineStr">
        <is>
          <t>測試</t>
        </is>
      </c>
      <c r="C26" s="24" t="inlineStr">
        <is>
          <t>韌體：藍牙配網</t>
        </is>
      </c>
      <c r="D26" s="24" t="inlineStr">
        <is>
          <t>用測試工具連續配網加綁定 10 次</t>
        </is>
      </c>
      <c r="E26" s="25" t="n">
        <v>46325</v>
      </c>
      <c r="F26" s="25" t="n">
        <v>46325</v>
      </c>
      <c r="G26" s="24" t="inlineStr">
        <is>
          <t>10 次全部成功，每次 10 分鐘內完成</t>
        </is>
      </c>
      <c r="H26" s="24" t="inlineStr">
        <is>
          <t>R-21</t>
        </is>
      </c>
      <c r="I26" s="24" t="inlineStr">
        <is>
          <t>Jacky</t>
        </is>
      </c>
      <c r="J26" s="23" t="inlineStr">
        <is>
          <t>未開始</t>
        </is>
      </c>
      <c r="K26" s="25" t="n"/>
      <c r="L26" s="23">
        <f>IF(J26="已完成",IF(K26="","",MAX(0,K26-F26)),IF(TODAY()&gt;F26,TODAY()-F26,""))</f>
        <v/>
      </c>
      <c r="M26" s="24" t="inlineStr">
        <is>
          <t>殼未完成前用 nRF Connect 或測試腳本</t>
        </is>
      </c>
    </row>
    <row r="27" ht="34" customHeight="1">
      <c r="A27" s="23" t="n">
        <v>21</v>
      </c>
      <c r="B27" s="26" t="inlineStr">
        <is>
          <t>測試</t>
        </is>
      </c>
      <c r="C27" s="24" t="inlineStr">
        <is>
          <t>韌體：藍牙配網</t>
        </is>
      </c>
      <c r="D27" s="24" t="inlineStr">
        <is>
          <t>錯誤情況：Wi-Fi 密碼錯、找不到 Wi-Fi、綁定票過期、玩具已被綁定</t>
        </is>
      </c>
      <c r="E27" s="25" t="n">
        <v>46325</v>
      </c>
      <c r="F27" s="25" t="n">
        <v>46325</v>
      </c>
      <c r="G27" s="24" t="inlineStr">
        <is>
          <t>每種都回傳正確錯誤碼，玩具可以重新配網</t>
        </is>
      </c>
      <c r="H27" s="24" t="inlineStr">
        <is>
          <t>R-21</t>
        </is>
      </c>
      <c r="I27" s="24" t="inlineStr">
        <is>
          <t>Jacky</t>
        </is>
      </c>
      <c r="J27" s="23" t="inlineStr">
        <is>
          <t>未開始</t>
        </is>
      </c>
      <c r="K27" s="25" t="n"/>
      <c r="L27" s="23">
        <f>IF(J27="已完成",IF(K27="","",MAX(0,K27-F27)),IF(TODAY()&gt;F27,TODAY()-F27,""))</f>
        <v/>
      </c>
      <c r="M27" s="24" t="inlineStr"/>
    </row>
    <row r="28" ht="34" customHeight="1">
      <c r="A28" s="23" t="n">
        <v>22</v>
      </c>
      <c r="B28" s="26" t="inlineStr">
        <is>
          <t>測試</t>
        </is>
      </c>
      <c r="C28" s="24" t="inlineStr">
        <is>
          <t>韌體：藍牙配網</t>
        </is>
      </c>
      <c r="D28" s="24" t="inlineStr">
        <is>
          <t>配網後連續對話 10 分鐘，量最低可用記憶體</t>
        </is>
      </c>
      <c r="E28" s="25" t="n">
        <v>46325</v>
      </c>
      <c r="F28" s="25" t="n">
        <v>46325</v>
      </c>
      <c r="G28" s="24" t="inlineStr">
        <is>
          <t>不比基準差</t>
        </is>
      </c>
      <c r="H28" s="24" t="inlineStr">
        <is>
          <t>R-21</t>
        </is>
      </c>
      <c r="I28" s="24" t="inlineStr">
        <is>
          <t>Jacky</t>
        </is>
      </c>
      <c r="J28" s="23" t="inlineStr">
        <is>
          <t>未開始</t>
        </is>
      </c>
      <c r="K28" s="25" t="n"/>
      <c r="L28" s="23">
        <f>IF(J28="已完成",IF(K28="","",MAX(0,K28-F28)),IF(TODAY()&gt;F28,TODAY()-F28,""))</f>
        <v/>
      </c>
      <c r="M28" s="24" t="inlineStr"/>
    </row>
    <row r="29" ht="34" customHeight="1">
      <c r="A29" s="20" t="n">
        <v>23</v>
      </c>
      <c r="B29" s="27" t="inlineStr">
        <is>
          <t>測試</t>
        </is>
      </c>
      <c r="C29" s="21" t="inlineStr">
        <is>
          <t>電路板實測</t>
        </is>
      </c>
      <c r="D29" s="21" t="inlineStr">
        <is>
          <t>裝在第一版樣品裡，連續對話 2 小時</t>
        </is>
      </c>
      <c r="E29" s="22" t="n">
        <v>46321</v>
      </c>
      <c r="F29" s="22" t="n">
        <v>46325</v>
      </c>
      <c r="G29" s="21" t="inlineStr">
        <is>
          <t>不當機、不重啟；收音和喇叭音量可接受</t>
        </is>
      </c>
      <c r="H29" s="21" t="inlineStr">
        <is>
          <t>R-01</t>
        </is>
      </c>
      <c r="I29" s="21" t="inlineStr">
        <is>
          <t>Jacky</t>
        </is>
      </c>
      <c r="J29" s="20" t="inlineStr">
        <is>
          <t>未開始</t>
        </is>
      </c>
      <c r="K29" s="22" t="n"/>
      <c r="L29" s="20">
        <f>IF(J29="已完成",IF(K29="","",MAX(0,K29-F29)),IF(TODAY()&gt;F29,TODAY()-F29,""))</f>
        <v/>
      </c>
      <c r="M29" s="21" t="inlineStr">
        <is>
          <t>結果交給對接人轉給工廠</t>
        </is>
      </c>
    </row>
    <row r="30" ht="34" customHeight="1">
      <c r="A30" s="20" t="n">
        <v>24</v>
      </c>
      <c r="B30" s="20" t="inlineStr">
        <is>
          <t>開發</t>
        </is>
      </c>
      <c r="C30" s="21" t="inlineStr">
        <is>
          <t>Tool call</t>
        </is>
      </c>
      <c r="D30" s="21" t="inlineStr">
        <is>
          <t>寫兩個工具的定義：調音量、結束對話（觸發說法、參數、回覆方式）</t>
        </is>
      </c>
      <c r="E30" s="22" t="n">
        <v>46321</v>
      </c>
      <c r="F30" s="22" t="n">
        <v>46325</v>
      </c>
      <c r="G30" s="21" t="inlineStr">
        <is>
          <t>定義寫好；其他工具列為上線後再加</t>
        </is>
      </c>
      <c r="H30" s="21" t="inlineStr"/>
      <c r="I30" s="21" t="inlineStr">
        <is>
          <t>Jacky</t>
        </is>
      </c>
      <c r="J30" s="20" t="inlineStr">
        <is>
          <t>未開始</t>
        </is>
      </c>
      <c r="K30" s="22" t="n"/>
      <c r="L30" s="20">
        <f>IF(J30="已完成",IF(K30="","",MAX(0,K30-F30)),IF(TODAY()&gt;F30,TODAY()-F30,""))</f>
        <v/>
      </c>
      <c r="M30" s="21" t="inlineStr"/>
    </row>
    <row r="31" ht="34" customHeight="1">
      <c r="A31" s="23" t="n">
        <v>25</v>
      </c>
      <c r="B31" s="23" t="inlineStr">
        <is>
          <t>開發</t>
        </is>
      </c>
      <c r="C31" s="24" t="inlineStr">
        <is>
          <t>Tool call</t>
        </is>
      </c>
      <c r="D31" s="24" t="inlineStr">
        <is>
          <t>語音伺服器接上工具呼叫</t>
        </is>
      </c>
      <c r="E31" s="25" t="n">
        <v>46328</v>
      </c>
      <c r="F31" s="25" t="n">
        <v>46336</v>
      </c>
      <c r="G31" s="24" t="inlineStr">
        <is>
          <t>模型可以呼叫工具，伺服器把指令送到玩具</t>
        </is>
      </c>
      <c r="H31" s="24" t="inlineStr"/>
      <c r="I31" s="24" t="inlineStr">
        <is>
          <t>Jacky</t>
        </is>
      </c>
      <c r="J31" s="23" t="inlineStr">
        <is>
          <t>未開始</t>
        </is>
      </c>
      <c r="K31" s="25" t="n"/>
      <c r="L31" s="23">
        <f>IF(J31="已完成",IF(K31="","",MAX(0,K31-F31)),IF(TODAY()&gt;F31,TODAY()-F31,""))</f>
        <v/>
      </c>
      <c r="M31" s="24" t="inlineStr"/>
    </row>
    <row r="32" ht="34" customHeight="1">
      <c r="A32" s="23" t="n">
        <v>26</v>
      </c>
      <c r="B32" s="23" t="inlineStr">
        <is>
          <t>開發</t>
        </is>
      </c>
      <c r="C32" s="24" t="inlineStr">
        <is>
          <t>Tool call</t>
        </is>
      </c>
      <c r="D32" s="24" t="inlineStr">
        <is>
          <t>調音量：韌體收到指令後調整並保存音量</t>
        </is>
      </c>
      <c r="E32" s="25" t="n">
        <v>46335</v>
      </c>
      <c r="F32" s="25" t="n">
        <v>46339</v>
      </c>
      <c r="G32" s="24" t="inlineStr">
        <is>
          <t>重新開機後音量不變</t>
        </is>
      </c>
      <c r="H32" s="24" t="inlineStr"/>
      <c r="I32" s="24" t="inlineStr">
        <is>
          <t>Jacky</t>
        </is>
      </c>
      <c r="J32" s="23" t="inlineStr">
        <is>
          <t>未開始</t>
        </is>
      </c>
      <c r="K32" s="25" t="n"/>
      <c r="L32" s="23">
        <f>IF(J32="已完成",IF(K32="","",MAX(0,K32-F32)),IF(TODAY()&gt;F32,TODAY()-F32,""))</f>
        <v/>
      </c>
      <c r="M32" s="24" t="inlineStr">
        <is>
          <t>韌體部分，要放進 11/27 的出廠韌體</t>
        </is>
      </c>
    </row>
    <row r="33" ht="34" customHeight="1">
      <c r="A33" s="23" t="n">
        <v>27</v>
      </c>
      <c r="B33" s="23" t="inlineStr">
        <is>
          <t>開發</t>
        </is>
      </c>
      <c r="C33" s="24" t="inlineStr">
        <is>
          <t>Tool call</t>
        </is>
      </c>
      <c r="D33" s="24" t="inlineStr">
        <is>
          <t>結束對話：說完告別語後關閉連線，玩具回到待機</t>
        </is>
      </c>
      <c r="E33" s="25" t="n">
        <v>46339</v>
      </c>
      <c r="F33" s="25" t="n">
        <v>46343</v>
      </c>
      <c r="G33" s="24" t="inlineStr">
        <is>
          <t>告別語完整播完才關閉</t>
        </is>
      </c>
      <c r="H33" s="24" t="inlineStr"/>
      <c r="I33" s="24" t="inlineStr">
        <is>
          <t>Jacky</t>
        </is>
      </c>
      <c r="J33" s="23" t="inlineStr">
        <is>
          <t>未開始</t>
        </is>
      </c>
      <c r="K33" s="25" t="n"/>
      <c r="L33" s="23">
        <f>IF(J33="已完成",IF(K33="","",MAX(0,K33-F33)),IF(TODAY()&gt;F33,TODAY()-F33,""))</f>
        <v/>
      </c>
      <c r="M33" s="24" t="inlineStr"/>
    </row>
    <row r="34" ht="19" customHeight="1">
      <c r="A34" s="23" t="n">
        <v>28</v>
      </c>
      <c r="B34" s="26" t="inlineStr">
        <is>
          <t>測試</t>
        </is>
      </c>
      <c r="C34" s="24" t="inlineStr">
        <is>
          <t>Tool call</t>
        </is>
      </c>
      <c r="D34" s="24" t="inlineStr">
        <is>
          <t>每個工具用真實語音各觸發 20 次</t>
        </is>
      </c>
      <c r="E34" s="25" t="n">
        <v>46344</v>
      </c>
      <c r="F34" s="25" t="n">
        <v>46346</v>
      </c>
      <c r="G34" s="24" t="inlineStr">
        <is>
          <t>成功率 ≥ 95%</t>
        </is>
      </c>
      <c r="H34" s="24" t="inlineStr"/>
      <c r="I34" s="24" t="inlineStr">
        <is>
          <t>Jacky</t>
        </is>
      </c>
      <c r="J34" s="23" t="inlineStr">
        <is>
          <t>未開始</t>
        </is>
      </c>
      <c r="K34" s="25" t="n"/>
      <c r="L34" s="23">
        <f>IF(J34="已完成",IF(K34="","",MAX(0,K34-F34)),IF(TODAY()&gt;F34,TODAY()-F34,""))</f>
        <v/>
      </c>
      <c r="M34" s="24" t="inlineStr"/>
    </row>
    <row r="35" ht="19" customHeight="1">
      <c r="A35" s="23" t="n">
        <v>29</v>
      </c>
      <c r="B35" s="26" t="inlineStr">
        <is>
          <t>測試</t>
        </is>
      </c>
      <c r="C35" s="24" t="inlineStr">
        <is>
          <t>Tool call</t>
        </is>
      </c>
      <c r="D35" s="24" t="inlineStr">
        <is>
          <t>說 30 句不相關的話</t>
        </is>
      </c>
      <c r="E35" s="25" t="n">
        <v>46344</v>
      </c>
      <c r="F35" s="25" t="n">
        <v>46346</v>
      </c>
      <c r="G35" s="24" t="inlineStr">
        <is>
          <t>不會誤觸發任何工具</t>
        </is>
      </c>
      <c r="H35" s="24" t="inlineStr"/>
      <c r="I35" s="24" t="inlineStr">
        <is>
          <t>Jacky</t>
        </is>
      </c>
      <c r="J35" s="23" t="inlineStr">
        <is>
          <t>未開始</t>
        </is>
      </c>
      <c r="K35" s="25" t="n"/>
      <c r="L35" s="23">
        <f>IF(J35="已完成",IF(K35="","",MAX(0,K35-F35)),IF(TODAY()&gt;F35,TODAY()-F35,""))</f>
        <v/>
      </c>
      <c r="M35" s="24" t="inlineStr"/>
    </row>
    <row r="36" ht="19" customHeight="1">
      <c r="A36" s="23" t="n">
        <v>30</v>
      </c>
      <c r="B36" s="26" t="inlineStr">
        <is>
          <t>測試</t>
        </is>
      </c>
      <c r="C36" s="24" t="inlineStr">
        <is>
          <t>Tool call</t>
        </is>
      </c>
      <c r="D36" s="24" t="inlineStr">
        <is>
          <t>對比加入工具前後的首字延遲</t>
        </is>
      </c>
      <c r="E36" s="25" t="n">
        <v>46344</v>
      </c>
      <c r="F36" s="25" t="n">
        <v>46346</v>
      </c>
      <c r="G36" s="24" t="inlineStr">
        <is>
          <t>增加不超過 300 毫秒</t>
        </is>
      </c>
      <c r="H36" s="24" t="inlineStr"/>
      <c r="I36" s="24" t="inlineStr">
        <is>
          <t>Jacky</t>
        </is>
      </c>
      <c r="J36" s="23" t="inlineStr">
        <is>
          <t>未開始</t>
        </is>
      </c>
      <c r="K36" s="25" t="n"/>
      <c r="L36" s="23">
        <f>IF(J36="已完成",IF(K36="","",MAX(0,K36-F36)),IF(TODAY()&gt;F36,TODAY()-F36,""))</f>
        <v/>
      </c>
      <c r="M36" s="24" t="inlineStr"/>
    </row>
    <row r="37" ht="34" customHeight="1">
      <c r="A37" s="20" t="n">
        <v>31</v>
      </c>
      <c r="B37" s="20" t="inlineStr">
        <is>
          <t>開發</t>
        </is>
      </c>
      <c r="C37" s="21" t="inlineStr">
        <is>
          <t>網頁：快活核心</t>
        </is>
      </c>
      <c r="D37" s="21" t="inlineStr">
        <is>
          <t>橋接層：網頁呼叫殼的接口；在瀏覽器裡用模擬橋接開發</t>
        </is>
      </c>
      <c r="E37" s="22" t="n">
        <v>46321</v>
      </c>
      <c r="F37" s="22" t="n">
        <v>46325</v>
      </c>
      <c r="G37" s="21" t="inlineStr">
        <is>
          <t>六個接口都能在瀏覽器裡模擬呼叫</t>
        </is>
      </c>
      <c r="H37" s="21" t="inlineStr">
        <is>
          <t>R-26</t>
        </is>
      </c>
      <c r="I37" s="21" t="inlineStr">
        <is>
          <t>Jacky</t>
        </is>
      </c>
      <c r="J37" s="20" t="inlineStr">
        <is>
          <t>未開始</t>
        </is>
      </c>
      <c r="K37" s="22" t="n"/>
      <c r="L37" s="20">
        <f>IF(J37="已完成",IF(K37="","",MAX(0,K37-F37)),IF(TODAY()&gt;F37,TODAY()-F37,""))</f>
        <v/>
      </c>
      <c r="M37" s="21" t="inlineStr"/>
    </row>
    <row r="38" ht="34" customHeight="1">
      <c r="A38" s="23" t="n">
        <v>32</v>
      </c>
      <c r="B38" s="23" t="inlineStr">
        <is>
          <t>開發</t>
        </is>
      </c>
      <c r="C38" s="24" t="inlineStr">
        <is>
          <t>網頁：快活核心</t>
        </is>
      </c>
      <c r="D38" s="24" t="inlineStr">
        <is>
          <t>配網和綁定頁：取綁定票、經殼送給玩具、等認領結果</t>
        </is>
      </c>
      <c r="E38" s="25" t="n">
        <v>46324</v>
      </c>
      <c r="F38" s="25" t="n">
        <v>46329</v>
      </c>
      <c r="G38" s="24" t="inlineStr">
        <is>
          <t>模擬橋接下走完流程；錯誤碼都有提示</t>
        </is>
      </c>
      <c r="H38" s="24" t="inlineStr">
        <is>
          <t>R-21、R-30</t>
        </is>
      </c>
      <c r="I38" s="24" t="inlineStr">
        <is>
          <t>Jacky</t>
        </is>
      </c>
      <c r="J38" s="23" t="inlineStr">
        <is>
          <t>未開始</t>
        </is>
      </c>
      <c r="K38" s="25" t="n"/>
      <c r="L38" s="23">
        <f>IF(J38="已完成",IF(K38="","",MAX(0,K38-F38)),IF(TODAY()&gt;F38,TODAY()-F38,""))</f>
        <v/>
      </c>
      <c r="M38" s="24" t="inlineStr"/>
    </row>
    <row r="39" ht="34" customHeight="1">
      <c r="A39" s="23" t="n">
        <v>33</v>
      </c>
      <c r="B39" s="23" t="inlineStr">
        <is>
          <t>開發</t>
        </is>
      </c>
      <c r="C39" s="24" t="inlineStr">
        <is>
          <t>網頁：快活核心</t>
        </is>
      </c>
      <c r="D39" s="24" t="inlineStr">
        <is>
          <t>角色、對話、設定、解綁頁（先按線框）</t>
        </is>
      </c>
      <c r="E39" s="25" t="n">
        <v>46328</v>
      </c>
      <c r="F39" s="25" t="n">
        <v>46331</v>
      </c>
      <c r="G39" s="24" t="inlineStr">
        <is>
          <t>四個頁面都可以用</t>
        </is>
      </c>
      <c r="H39" s="24" t="inlineStr">
        <is>
          <t>R-30</t>
        </is>
      </c>
      <c r="I39" s="24" t="inlineStr">
        <is>
          <t>Jacky</t>
        </is>
      </c>
      <c r="J39" s="23" t="inlineStr">
        <is>
          <t>未開始</t>
        </is>
      </c>
      <c r="K39" s="25" t="n"/>
      <c r="L39" s="23">
        <f>IF(J39="已完成",IF(K39="","",MAX(0,K39-F39)),IF(TODAY()&gt;F39,TODAY()-F39,""))</f>
        <v/>
      </c>
      <c r="M39" s="24" t="inlineStr"/>
    </row>
    <row r="40" ht="34" customHeight="1">
      <c r="A40" s="23" t="n">
        <v>34</v>
      </c>
      <c r="B40" s="26" t="inlineStr">
        <is>
          <t>測試</t>
        </is>
      </c>
      <c r="C40" s="24" t="inlineStr">
        <is>
          <t>網頁：快活核心</t>
        </is>
      </c>
      <c r="D40" s="24" t="inlineStr">
        <is>
          <t>用 App 殼負責人（待定）的早期殼，iPhone、Android 各一部配網加綁定</t>
        </is>
      </c>
      <c r="E40" s="25" t="n">
        <v>46332</v>
      </c>
      <c r="F40" s="25" t="n">
        <v>46332</v>
      </c>
      <c r="G40" s="24" t="inlineStr">
        <is>
          <t>兩部手機都在 10 分鐘內完成</t>
        </is>
      </c>
      <c r="H40" s="24" t="inlineStr">
        <is>
          <t>R-21、R-30</t>
        </is>
      </c>
      <c r="I40" s="24" t="inlineStr">
        <is>
          <t>Jacky、待定</t>
        </is>
      </c>
      <c r="J40" s="23" t="inlineStr">
        <is>
          <t>未開始</t>
        </is>
      </c>
      <c r="K40" s="25" t="n"/>
      <c r="L40" s="23">
        <f>IF(J40="已完成",IF(K40="","",MAX(0,K40-F40)),IF(TODAY()&gt;F40,TODAY()-F40,""))</f>
        <v/>
      </c>
      <c r="M40" s="24" t="inlineStr">
        <is>
          <t>要 App 殼負責人（待定）先出一個能跑藍牙的早期版本</t>
        </is>
      </c>
    </row>
    <row r="41" ht="34" customHeight="1">
      <c r="A41" s="23" t="n">
        <v>35</v>
      </c>
      <c r="B41" s="26" t="inlineStr">
        <is>
          <t>測試</t>
        </is>
      </c>
      <c r="C41" s="24" t="inlineStr">
        <is>
          <t>網頁：快活核心</t>
        </is>
      </c>
      <c r="D41" s="24" t="inlineStr">
        <is>
          <t>選角色、對話、改設定、解綁各走一次</t>
        </is>
      </c>
      <c r="E41" s="25" t="n">
        <v>46332</v>
      </c>
      <c r="F41" s="25" t="n">
        <v>46332</v>
      </c>
      <c r="G41" s="24" t="inlineStr">
        <is>
          <t>全部正常</t>
        </is>
      </c>
      <c r="H41" s="24" t="inlineStr">
        <is>
          <t>R-30</t>
        </is>
      </c>
      <c r="I41" s="24" t="inlineStr">
        <is>
          <t>Jacky</t>
        </is>
      </c>
      <c r="J41" s="23" t="inlineStr">
        <is>
          <t>未開始</t>
        </is>
      </c>
      <c r="K41" s="25" t="n"/>
      <c r="L41" s="23">
        <f>IF(J41="已完成",IF(K41="","",MAX(0,K41-F41)),IF(TODAY()&gt;F41,TODAY()-F41,""))</f>
        <v/>
      </c>
      <c r="M41" s="24" t="inlineStr"/>
    </row>
    <row r="42" ht="34" customHeight="1">
      <c r="A42" s="23" t="n">
        <v>36</v>
      </c>
      <c r="B42" s="23" t="inlineStr">
        <is>
          <t>開發</t>
        </is>
      </c>
      <c r="C42" s="24" t="inlineStr">
        <is>
          <t>網頁：快活核心</t>
        </is>
      </c>
      <c r="D42" s="24" t="inlineStr">
        <is>
          <t>換上設計負責人（待定）的正式設計稿</t>
        </is>
      </c>
      <c r="E42" s="25" t="n">
        <v>46335</v>
      </c>
      <c r="F42" s="25" t="n">
        <v>46339</v>
      </c>
      <c r="G42" s="24" t="inlineStr">
        <is>
          <t>頁面和設計稿一致</t>
        </is>
      </c>
      <c r="H42" s="24" t="inlineStr">
        <is>
          <t>R-30</t>
        </is>
      </c>
      <c r="I42" s="24" t="inlineStr">
        <is>
          <t>Jacky</t>
        </is>
      </c>
      <c r="J42" s="23" t="inlineStr">
        <is>
          <t>未開始</t>
        </is>
      </c>
      <c r="K42" s="25" t="n"/>
      <c r="L42" s="23">
        <f>IF(J42="已完成",IF(K42="","",MAX(0,K42-F42)),IF(TODAY()&gt;F42,TODAY()-F42,""))</f>
        <v/>
      </c>
      <c r="M42" s="24" t="inlineStr">
        <is>
          <t>設計負責人（待定）11/6 交稿</t>
        </is>
      </c>
    </row>
    <row r="43" ht="49" customHeight="1">
      <c r="A43" s="20" t="n">
        <v>37</v>
      </c>
      <c r="B43" s="20" t="inlineStr">
        <is>
          <t>開發</t>
        </is>
      </c>
      <c r="C43" s="21" t="inlineStr">
        <is>
          <t>網頁：Wi-Fi 管理</t>
        </is>
      </c>
      <c r="D43" s="21" t="inlineStr">
        <is>
          <t>韌體：經連線接收新增、刪除 Wi-Fi；回報已記住的清單、目前 Wi-Fi 和訊號；上限加到 8 個</t>
        </is>
      </c>
      <c r="E43" s="22" t="n">
        <v>46328</v>
      </c>
      <c r="F43" s="22" t="n">
        <v>46329</v>
      </c>
      <c r="G43" s="21" t="inlineStr">
        <is>
          <t>網頁送出後玩具即時更新清單；重新開機後清單不變</t>
        </is>
      </c>
      <c r="H43" s="21" t="inlineStr">
        <is>
          <t>R-37</t>
        </is>
      </c>
      <c r="I43" s="21" t="inlineStr">
        <is>
          <t>Jacky</t>
        </is>
      </c>
      <c r="J43" s="20" t="inlineStr">
        <is>
          <t>未開始</t>
        </is>
      </c>
      <c r="K43" s="22" t="n"/>
      <c r="L43" s="20">
        <f>IF(J43="已完成",IF(K43="","",MAX(0,K43-F43)),IF(TODAY()&gt;F43,TODAY()-F43,""))</f>
        <v/>
      </c>
      <c r="M43" s="21" t="inlineStr">
        <is>
          <t>經 OTA 推出</t>
        </is>
      </c>
    </row>
    <row r="44" ht="34" customHeight="1">
      <c r="A44" s="23" t="n">
        <v>38</v>
      </c>
      <c r="B44" s="23" t="inlineStr">
        <is>
          <t>開發</t>
        </is>
      </c>
      <c r="C44" s="24" t="inlineStr">
        <is>
          <t>網頁：Wi-Fi 管理</t>
        </is>
      </c>
      <c r="D44" s="24" t="inlineStr">
        <is>
          <t>韌體：待機時掃描附近 Wi-Fi，回傳清單</t>
        </is>
      </c>
      <c r="E44" s="25" t="n">
        <v>46329</v>
      </c>
      <c r="F44" s="25" t="n">
        <v>46330</v>
      </c>
      <c r="G44" s="24" t="inlineStr">
        <is>
          <t>掃描不影響對話（只在待機時掃）</t>
        </is>
      </c>
      <c r="H44" s="24" t="inlineStr">
        <is>
          <t>R-37</t>
        </is>
      </c>
      <c r="I44" s="24" t="inlineStr">
        <is>
          <t>Jacky</t>
        </is>
      </c>
      <c r="J44" s="23" t="inlineStr">
        <is>
          <t>未開始</t>
        </is>
      </c>
      <c r="K44" s="25" t="n"/>
      <c r="L44" s="23">
        <f>IF(J44="已完成",IF(K44="","",MAX(0,K44-F44)),IF(TODAY()&gt;F44,TODAY()-F44,""))</f>
        <v/>
      </c>
      <c r="M44" s="24" t="inlineStr"/>
    </row>
    <row r="45" ht="34" customHeight="1">
      <c r="A45" s="23" t="n">
        <v>39</v>
      </c>
      <c r="B45" s="23" t="inlineStr">
        <is>
          <t>開發</t>
        </is>
      </c>
      <c r="C45" s="24" t="inlineStr">
        <is>
          <t>網頁：Wi-Fi 管理</t>
        </is>
      </c>
      <c r="D45" s="24" t="inlineStr">
        <is>
          <t>語音伺服器：確認是設備主人後轉送；密碼不寫入資料庫和日誌</t>
        </is>
      </c>
      <c r="E45" s="25" t="n">
        <v>46329</v>
      </c>
      <c r="F45" s="25" t="n">
        <v>46330</v>
      </c>
      <c r="G45" s="24" t="inlineStr">
        <is>
          <t>非主人呼叫回 403</t>
        </is>
      </c>
      <c r="H45" s="24" t="inlineStr">
        <is>
          <t>R-37</t>
        </is>
      </c>
      <c r="I45" s="24" t="inlineStr">
        <is>
          <t>Jacky</t>
        </is>
      </c>
      <c r="J45" s="23" t="inlineStr">
        <is>
          <t>未開始</t>
        </is>
      </c>
      <c r="K45" s="25" t="n"/>
      <c r="L45" s="23">
        <f>IF(J45="已完成",IF(K45="","",MAX(0,K45-F45)),IF(TODAY()&gt;F45,TODAY()-F45,""))</f>
        <v/>
      </c>
      <c r="M45" s="24" t="inlineStr"/>
    </row>
    <row r="46" ht="34" customHeight="1">
      <c r="A46" s="23" t="n">
        <v>40</v>
      </c>
      <c r="B46" s="23" t="inlineStr">
        <is>
          <t>開發</t>
        </is>
      </c>
      <c r="C46" s="24" t="inlineStr">
        <is>
          <t>網頁：Wi-Fi 管理</t>
        </is>
      </c>
      <c r="D46" s="24" t="inlineStr">
        <is>
          <t>設定頁：在線狀態、目前 Wi-Fi、我的 Wi-Fi、新增、刪除</t>
        </is>
      </c>
      <c r="E46" s="25" t="n">
        <v>46330</v>
      </c>
      <c r="F46" s="25" t="n">
        <v>46332</v>
      </c>
      <c r="G46" s="24" t="inlineStr">
        <is>
          <t>對照參考圖；不能刪除正在使用的 Wi-Fi；離線時新增按鈕停用</t>
        </is>
      </c>
      <c r="H46" s="24" t="inlineStr">
        <is>
          <t>R-37</t>
        </is>
      </c>
      <c r="I46" s="24" t="inlineStr">
        <is>
          <t>Jacky</t>
        </is>
      </c>
      <c r="J46" s="23" t="inlineStr">
        <is>
          <t>未開始</t>
        </is>
      </c>
      <c r="K46" s="25" t="n"/>
      <c r="L46" s="23">
        <f>IF(J46="已完成",IF(K46="","",MAX(0,K46-F46)),IF(TODAY()&gt;F46,TODAY()-F46,""))</f>
        <v/>
      </c>
      <c r="M46" s="24" t="inlineStr">
        <is>
          <t>設計負責人（待定）的設計稿到了再換外觀</t>
        </is>
      </c>
    </row>
    <row r="47" ht="34" customHeight="1">
      <c r="A47" s="23" t="n">
        <v>41</v>
      </c>
      <c r="B47" s="26" t="inlineStr">
        <is>
          <t>測試</t>
        </is>
      </c>
      <c r="C47" s="24" t="inlineStr">
        <is>
          <t>網頁：Wi-Fi 管理</t>
        </is>
      </c>
      <c r="D47" s="24" t="inlineStr">
        <is>
          <t>網頁新增 Wi-Fi B，然後關掉原來的 Wi-Fi A</t>
        </is>
      </c>
      <c r="E47" s="25" t="n">
        <v>46332</v>
      </c>
      <c r="F47" s="25" t="n">
        <v>46332</v>
      </c>
      <c r="G47" s="24" t="inlineStr">
        <is>
          <t>玩具自動改連 B</t>
        </is>
      </c>
      <c r="H47" s="24" t="inlineStr">
        <is>
          <t>R-37</t>
        </is>
      </c>
      <c r="I47" s="24" t="inlineStr">
        <is>
          <t>Jacky</t>
        </is>
      </c>
      <c r="J47" s="23" t="inlineStr">
        <is>
          <t>未開始</t>
        </is>
      </c>
      <c r="K47" s="25" t="n"/>
      <c r="L47" s="23">
        <f>IF(J47="已完成",IF(K47="","",MAX(0,K47-F47)),IF(TODAY()&gt;F47,TODAY()-F47,""))</f>
        <v/>
      </c>
      <c r="M47" s="24" t="inlineStr"/>
    </row>
    <row r="48" ht="34" customHeight="1">
      <c r="A48" s="23" t="n">
        <v>42</v>
      </c>
      <c r="B48" s="26" t="inlineStr">
        <is>
          <t>測試</t>
        </is>
      </c>
      <c r="C48" s="24" t="inlineStr">
        <is>
          <t>網頁：Wi-Fi 管理</t>
        </is>
      </c>
      <c r="D48" s="24" t="inlineStr">
        <is>
          <t>B 的密碼打錯；嘗試刪除目前 Wi-Fi；用另一個帳號呼叫</t>
        </is>
      </c>
      <c r="E48" s="25" t="n">
        <v>46332</v>
      </c>
      <c r="F48" s="25" t="n">
        <v>46332</v>
      </c>
      <c r="G48" s="24" t="inlineStr">
        <is>
          <t>玩具留在 A 不斷線；刪除被拒；另一帳號 403</t>
        </is>
      </c>
      <c r="H48" s="24" t="inlineStr">
        <is>
          <t>R-37</t>
        </is>
      </c>
      <c r="I48" s="24" t="inlineStr">
        <is>
          <t>Jacky</t>
        </is>
      </c>
      <c r="J48" s="23" t="inlineStr">
        <is>
          <t>未開始</t>
        </is>
      </c>
      <c r="K48" s="25" t="n"/>
      <c r="L48" s="23">
        <f>IF(J48="已完成",IF(K48="","",MAX(0,K48-F48)),IF(TODAY()&gt;F48,TODAY()-F48,""))</f>
        <v/>
      </c>
      <c r="M48" s="24" t="inlineStr"/>
    </row>
    <row r="49" ht="34" customHeight="1">
      <c r="A49" s="23" t="n">
        <v>43</v>
      </c>
      <c r="B49" s="26" t="inlineStr">
        <is>
          <t>測試</t>
        </is>
      </c>
      <c r="C49" s="24" t="inlineStr">
        <is>
          <t>網頁：Wi-Fi 管理</t>
        </is>
      </c>
      <c r="D49" s="24" t="inlineStr">
        <is>
          <t>搜尋資料庫和伺服器日誌裡的測試密碼</t>
        </is>
      </c>
      <c r="E49" s="25" t="n">
        <v>46332</v>
      </c>
      <c r="F49" s="25" t="n">
        <v>46332</v>
      </c>
      <c r="G49" s="24" t="inlineStr">
        <is>
          <t>找不到</t>
        </is>
      </c>
      <c r="H49" s="24" t="inlineStr">
        <is>
          <t>R-37</t>
        </is>
      </c>
      <c r="I49" s="24" t="inlineStr">
        <is>
          <t>Jacky</t>
        </is>
      </c>
      <c r="J49" s="23" t="inlineStr">
        <is>
          <t>未開始</t>
        </is>
      </c>
      <c r="K49" s="25" t="n"/>
      <c r="L49" s="23">
        <f>IF(J49="已完成",IF(K49="","",MAX(0,K49-F49)),IF(TODAY()&gt;F49,TODAY()-F49,""))</f>
        <v/>
      </c>
      <c r="M49" s="24" t="inlineStr"/>
    </row>
    <row r="50" ht="34" customHeight="1">
      <c r="A50" s="20" t="n">
        <v>44</v>
      </c>
      <c r="B50" s="20" t="inlineStr">
        <is>
          <t>開發</t>
        </is>
      </c>
      <c r="C50" s="21" t="inlineStr">
        <is>
          <t>RAG 知識庫（快活）</t>
        </is>
      </c>
      <c r="D50" s="21" t="inlineStr">
        <is>
          <t>知識庫的資料表、入庫腳本、版本和審批欄位</t>
        </is>
      </c>
      <c r="E50" s="22" t="n">
        <v>46328</v>
      </c>
      <c r="F50" s="22" t="n">
        <v>46330</v>
      </c>
      <c r="G50" s="21" t="inlineStr">
        <is>
          <t>可以上載、送審、批准；只有批准的版本會被使用</t>
        </is>
      </c>
      <c r="H50" s="21" t="inlineStr"/>
      <c r="I50" s="21" t="inlineStr">
        <is>
          <t>Jacky</t>
        </is>
      </c>
      <c r="J50" s="20" t="inlineStr">
        <is>
          <t>未開始</t>
        </is>
      </c>
      <c r="K50" s="22" t="n"/>
      <c r="L50" s="20">
        <f>IF(J50="已完成",IF(K50="","",MAX(0,K50-F50)),IF(TODAY()&gt;F50,TODAY()-F50,""))</f>
        <v/>
      </c>
      <c r="M50" s="21" t="inlineStr"/>
    </row>
    <row r="51" ht="34" customHeight="1">
      <c r="A51" s="23" t="n">
        <v>45</v>
      </c>
      <c r="B51" s="23" t="inlineStr">
        <is>
          <t>開發</t>
        </is>
      </c>
      <c r="C51" s="24" t="inlineStr">
        <is>
          <t>RAG 知識庫（快活）</t>
        </is>
      </c>
      <c r="D51" s="24" t="inlineStr">
        <is>
          <t>把馬會第一批資料入庫</t>
        </is>
      </c>
      <c r="E51" s="25" t="n">
        <v>46331</v>
      </c>
      <c r="F51" s="25" t="n">
        <v>46332</v>
      </c>
      <c r="G51" s="24" t="inlineStr">
        <is>
          <t>設計負責人（待定）整理的問答全部入庫</t>
        </is>
      </c>
      <c r="H51" s="24" t="inlineStr"/>
      <c r="I51" s="24" t="inlineStr">
        <is>
          <t>Jacky</t>
        </is>
      </c>
      <c r="J51" s="23" t="inlineStr">
        <is>
          <t>未開始</t>
        </is>
      </c>
      <c r="K51" s="25" t="n"/>
      <c r="L51" s="23">
        <f>IF(J51="已完成",IF(K51="","",MAX(0,K51-F51)),IF(TODAY()&gt;F51,TODAY()-F51,""))</f>
        <v/>
      </c>
      <c r="M51" s="24" t="inlineStr">
        <is>
          <t>要等馬會交資料</t>
        </is>
      </c>
    </row>
    <row r="52" ht="34" customHeight="1">
      <c r="A52" s="23" t="n">
        <v>46</v>
      </c>
      <c r="B52" s="26" t="inlineStr">
        <is>
          <t>測試</t>
        </is>
      </c>
      <c r="C52" s="24" t="inlineStr">
        <is>
          <t>RAG 知識庫（快活）</t>
        </is>
      </c>
      <c r="D52" s="24" t="inlineStr">
        <is>
          <t>入庫 → 送審 → 批准 → 生效，跑一次</t>
        </is>
      </c>
      <c r="E52" s="25" t="n">
        <v>46332</v>
      </c>
      <c r="F52" s="25" t="n">
        <v>46332</v>
      </c>
      <c r="G52" s="24" t="inlineStr">
        <is>
          <t>流程跑通；未批准的內容不會被回答使用</t>
        </is>
      </c>
      <c r="H52" s="24" t="inlineStr"/>
      <c r="I52" s="24" t="inlineStr">
        <is>
          <t>Jacky</t>
        </is>
      </c>
      <c r="J52" s="23" t="inlineStr">
        <is>
          <t>未開始</t>
        </is>
      </c>
      <c r="K52" s="25" t="n"/>
      <c r="L52" s="23">
        <f>IF(J52="已完成",IF(K52="","",MAX(0,K52-F52)),IF(TODAY()&gt;F52,TODAY()-F52,""))</f>
        <v/>
      </c>
      <c r="M52" s="24" t="inlineStr"/>
    </row>
    <row r="53" ht="34" customHeight="1">
      <c r="A53" s="23" t="n">
        <v>47</v>
      </c>
      <c r="B53" s="23" t="inlineStr">
        <is>
          <t>開發</t>
        </is>
      </c>
      <c r="C53" s="24" t="inlineStr">
        <is>
          <t>RAG 知識庫（快活）</t>
        </is>
      </c>
      <c r="D53" s="24" t="inlineStr">
        <is>
          <t>對話時檢索知識庫並回答</t>
        </is>
      </c>
      <c r="E53" s="25" t="n">
        <v>46335</v>
      </c>
      <c r="F53" s="25" t="n">
        <v>46346</v>
      </c>
      <c r="G53" s="24" t="inlineStr">
        <is>
          <t>問到知識庫的內容時，回答引用知識庫</t>
        </is>
      </c>
      <c r="H53" s="24" t="inlineStr"/>
      <c r="I53" s="24" t="inlineStr">
        <is>
          <t>Jacky</t>
        </is>
      </c>
      <c r="J53" s="23" t="inlineStr">
        <is>
          <t>未開始</t>
        </is>
      </c>
      <c r="K53" s="25" t="n"/>
      <c r="L53" s="23">
        <f>IF(J53="已完成",IF(K53="","",MAX(0,K53-F53)),IF(TODAY()&gt;F53,TODAY()-F53,""))</f>
        <v/>
      </c>
      <c r="M53" s="24" t="inlineStr"/>
    </row>
    <row r="54" ht="34" customHeight="1">
      <c r="A54" s="23" t="n">
        <v>48</v>
      </c>
      <c r="B54" s="23" t="inlineStr">
        <is>
          <t>開發</t>
        </is>
      </c>
      <c r="C54" s="24" t="inlineStr">
        <is>
          <t>RAG 知識庫（快活）</t>
        </is>
      </c>
      <c r="D54" s="24" t="inlineStr">
        <is>
          <t>沒把握時的說法；婉拒貼士、賠率、賽果預測</t>
        </is>
      </c>
      <c r="E54" s="25" t="n">
        <v>46344</v>
      </c>
      <c r="F54" s="25" t="n">
        <v>46350</v>
      </c>
      <c r="G54" s="24" t="inlineStr">
        <is>
          <t>知識庫沒有的內容會說不肯定並建議查詢</t>
        </is>
      </c>
      <c r="H54" s="24" t="inlineStr"/>
      <c r="I54" s="24" t="inlineStr">
        <is>
          <t>Jacky</t>
        </is>
      </c>
      <c r="J54" s="23" t="inlineStr">
        <is>
          <t>未開始</t>
        </is>
      </c>
      <c r="K54" s="25" t="n"/>
      <c r="L54" s="23">
        <f>IF(J54="已完成",IF(K54="","",MAX(0,K54-F54)),IF(TODAY()&gt;F54,TODAY()-F54,""))</f>
        <v/>
      </c>
      <c r="M54" s="24" t="inlineStr"/>
    </row>
    <row r="55" ht="34" customHeight="1">
      <c r="A55" s="23" t="n">
        <v>49</v>
      </c>
      <c r="B55" s="23" t="inlineStr">
        <is>
          <t>開發</t>
        </is>
      </c>
      <c r="C55" s="24" t="inlineStr">
        <is>
          <t>RAG 知識庫（快活）</t>
        </is>
      </c>
      <c r="D55" s="24" t="inlineStr">
        <is>
          <t>測試問題自動跑分的腳本</t>
        </is>
      </c>
      <c r="E55" s="25" t="n">
        <v>46349</v>
      </c>
      <c r="F55" s="25" t="n">
        <v>46353</v>
      </c>
      <c r="G55" s="24" t="inlineStr">
        <is>
          <t>一條命令跑完 100 條問題並出分數</t>
        </is>
      </c>
      <c r="H55" s="24" t="inlineStr"/>
      <c r="I55" s="24" t="inlineStr">
        <is>
          <t>Jacky</t>
        </is>
      </c>
      <c r="J55" s="23" t="inlineStr">
        <is>
          <t>未開始</t>
        </is>
      </c>
      <c r="K55" s="25" t="n"/>
      <c r="L55" s="23">
        <f>IF(J55="已完成",IF(K55="","",MAX(0,K55-F55)),IF(TODAY()&gt;F55,TODAY()-F55,""))</f>
        <v/>
      </c>
      <c r="M55" s="24" t="inlineStr">
        <is>
          <t>設計負責人（待定）寫問題和標準答案</t>
        </is>
      </c>
    </row>
    <row r="56" ht="34" customHeight="1">
      <c r="A56" s="23" t="n">
        <v>50</v>
      </c>
      <c r="B56" s="26" t="inlineStr">
        <is>
          <t>測試</t>
        </is>
      </c>
      <c r="C56" s="24" t="inlineStr">
        <is>
          <t>RAG 知識庫（快活）</t>
        </is>
      </c>
      <c r="D56" s="24" t="inlineStr">
        <is>
          <t>跑 100 條測試問題</t>
        </is>
      </c>
      <c r="E56" s="25" t="n">
        <v>46357</v>
      </c>
      <c r="F56" s="25" t="n">
        <v>46360</v>
      </c>
      <c r="G56" s="24" t="inlineStr">
        <is>
          <t>答對率 ≥ 80%</t>
        </is>
      </c>
      <c r="H56" s="24" t="inlineStr"/>
      <c r="I56" s="24" t="inlineStr">
        <is>
          <t>Jacky</t>
        </is>
      </c>
      <c r="J56" s="23" t="inlineStr">
        <is>
          <t>未開始</t>
        </is>
      </c>
      <c r="K56" s="25" t="n"/>
      <c r="L56" s="23">
        <f>IF(J56="已完成",IF(K56="","",MAX(0,K56-F56)),IF(TODAY()&gt;F56,TODAY()-F56,""))</f>
        <v/>
      </c>
      <c r="M56" s="24" t="inlineStr"/>
    </row>
    <row r="57" ht="34" customHeight="1">
      <c r="A57" s="23" t="n">
        <v>51</v>
      </c>
      <c r="B57" s="26" t="inlineStr">
        <is>
          <t>測試</t>
        </is>
      </c>
      <c r="C57" s="24" t="inlineStr">
        <is>
          <t>RAG 知識庫（快活）</t>
        </is>
      </c>
      <c r="D57" s="24" t="inlineStr">
        <is>
          <t>婉拒測試：至少 50 條問貼士、賠率、預測的問題，包括換說法和三種語言</t>
        </is>
      </c>
      <c r="E57" s="25" t="n">
        <v>46357</v>
      </c>
      <c r="F57" s="25" t="n">
        <v>46360</v>
      </c>
      <c r="G57" s="24" t="inlineStr">
        <is>
          <t>100% 婉拒</t>
        </is>
      </c>
      <c r="H57" s="24" t="inlineStr"/>
      <c r="I57" s="24" t="inlineStr">
        <is>
          <t>Jacky</t>
        </is>
      </c>
      <c r="J57" s="23" t="inlineStr">
        <is>
          <t>未開始</t>
        </is>
      </c>
      <c r="K57" s="25" t="n"/>
      <c r="L57" s="23">
        <f>IF(J57="已完成",IF(K57="","",MAX(0,K57-F57)),IF(TODAY()&gt;F57,TODAY()-F57,""))</f>
        <v/>
      </c>
      <c r="M57" s="24" t="inlineStr"/>
    </row>
    <row r="58" ht="34" customHeight="1">
      <c r="A58" s="23" t="n">
        <v>52</v>
      </c>
      <c r="B58" s="23" t="inlineStr">
        <is>
          <t>開發</t>
        </is>
      </c>
      <c r="C58" s="24" t="inlineStr">
        <is>
          <t>RAG 知識庫（快活）</t>
        </is>
      </c>
      <c r="D58" s="24" t="inlineStr">
        <is>
          <t>按馬會審核意見修改</t>
        </is>
      </c>
      <c r="E58" s="25" t="n">
        <v>46370</v>
      </c>
      <c r="F58" s="25" t="n">
        <v>46381</v>
      </c>
      <c r="G58" s="24" t="inlineStr">
        <is>
          <t>每次修改都有新版本和審批記錄</t>
        </is>
      </c>
      <c r="H58" s="24" t="inlineStr"/>
      <c r="I58" s="24" t="inlineStr">
        <is>
          <t>Jacky</t>
        </is>
      </c>
      <c r="J58" s="23" t="inlineStr">
        <is>
          <t>未開始</t>
        </is>
      </c>
      <c r="K58" s="25" t="n"/>
      <c r="L58" s="23">
        <f>IF(J58="已完成",IF(K58="","",MAX(0,K58-F58)),IF(TODAY()&gt;F58,TODAY()-F58,""))</f>
        <v/>
      </c>
      <c r="M58" s="24" t="inlineStr"/>
    </row>
    <row r="59" ht="34" customHeight="1">
      <c r="A59" s="23" t="n">
        <v>53</v>
      </c>
      <c r="B59" s="26" t="inlineStr">
        <is>
          <t>測試</t>
        </is>
      </c>
      <c r="C59" s="24" t="inlineStr">
        <is>
          <t>RAG 知識庫（快活）</t>
        </is>
      </c>
      <c r="D59" s="24" t="inlineStr">
        <is>
          <t>在後台更新知識庫，用已出廠的玩具提問</t>
        </is>
      </c>
      <c r="E59" s="25" t="n">
        <v>46377</v>
      </c>
      <c r="F59" s="25" t="n">
        <v>46381</v>
      </c>
      <c r="G59" s="24" t="inlineStr">
        <is>
          <t>不用重新燒錄，玩具即時用新版本回答</t>
        </is>
      </c>
      <c r="H59" s="24" t="inlineStr"/>
      <c r="I59" s="24" t="inlineStr">
        <is>
          <t>Jacky</t>
        </is>
      </c>
      <c r="J59" s="23" t="inlineStr">
        <is>
          <t>未開始</t>
        </is>
      </c>
      <c r="K59" s="25" t="n"/>
      <c r="L59" s="23">
        <f>IF(J59="已完成",IF(K59="","",MAX(0,K59-F59)),IF(TODAY()&gt;F59,TODAY()-F59,""))</f>
        <v/>
      </c>
      <c r="M59" s="24" t="inlineStr"/>
    </row>
    <row r="60" ht="34" customHeight="1">
      <c r="A60" s="20" t="n">
        <v>54</v>
      </c>
      <c r="B60" s="20" t="inlineStr">
        <is>
          <t>開發</t>
        </is>
      </c>
      <c r="C60" s="21" t="inlineStr">
        <is>
          <t>韌體：分區表和加密</t>
        </is>
      </c>
      <c r="D60" s="21" t="inlineStr">
        <is>
          <t>新分區表：加大 app 分區，加品牌資源分區和出廠設定分區</t>
        </is>
      </c>
      <c r="E60" s="22" t="n">
        <v>46314</v>
      </c>
      <c r="F60" s="22" t="n">
        <v>46325</v>
      </c>
      <c r="G60" s="21" t="inlineStr">
        <is>
          <t>新分區表能放下現在的韌體加 30% 空間</t>
        </is>
      </c>
      <c r="H60" s="21" t="inlineStr">
        <is>
          <t>P2-12</t>
        </is>
      </c>
      <c r="I60" s="21" t="inlineStr">
        <is>
          <t>Jacky</t>
        </is>
      </c>
      <c r="J60" s="20" t="inlineStr">
        <is>
          <t>未開始</t>
        </is>
      </c>
      <c r="K60" s="22" t="n"/>
      <c r="L60" s="20">
        <f>IF(J60="已完成",IF(K60="","",MAX(0,K60-F60)),IF(TODAY()&gt;F60,TODAY()-F60,""))</f>
        <v/>
      </c>
      <c r="M60" s="21" t="inlineStr"/>
    </row>
    <row r="61" ht="34" customHeight="1">
      <c r="A61" s="23" t="n">
        <v>55</v>
      </c>
      <c r="B61" s="26" t="inlineStr">
        <is>
          <t>測試</t>
        </is>
      </c>
      <c r="C61" s="24" t="inlineStr">
        <is>
          <t>韌體：分區表和加密</t>
        </is>
      </c>
      <c r="D61" s="24" t="inlineStr">
        <is>
          <t>新分區表上做 OTA 升級和回滾各一次</t>
        </is>
      </c>
      <c r="E61" s="25" t="n">
        <v>46328</v>
      </c>
      <c r="F61" s="25" t="n">
        <v>46330</v>
      </c>
      <c r="G61" s="24" t="inlineStr">
        <is>
          <t>兩次都成功</t>
        </is>
      </c>
      <c r="H61" s="24" t="inlineStr">
        <is>
          <t>P2-12、P0-13</t>
        </is>
      </c>
      <c r="I61" s="24" t="inlineStr">
        <is>
          <t>Jacky</t>
        </is>
      </c>
      <c r="J61" s="23" t="inlineStr">
        <is>
          <t>未開始</t>
        </is>
      </c>
      <c r="K61" s="25" t="n"/>
      <c r="L61" s="23">
        <f>IF(J61="已完成",IF(K61="","",MAX(0,K61-F61)),IF(TODAY()&gt;F61,TODAY()-F61,""))</f>
        <v/>
      </c>
      <c r="M61" s="24" t="inlineStr"/>
    </row>
    <row r="62" ht="34" customHeight="1">
      <c r="A62" s="23" t="n">
        <v>56</v>
      </c>
      <c r="B62" s="23" t="inlineStr">
        <is>
          <t>開發</t>
        </is>
      </c>
      <c r="C62" s="24" t="inlineStr">
        <is>
          <t>韌體：分區表和加密</t>
        </is>
      </c>
      <c r="D62" s="24" t="inlineStr">
        <is>
          <t>產生 Secure Boot 簽名金鑰，離線備份兩份</t>
        </is>
      </c>
      <c r="E62" s="25" t="n">
        <v>46328</v>
      </c>
      <c r="F62" s="25" t="n">
        <v>46332</v>
      </c>
      <c r="G62" s="24" t="inlineStr">
        <is>
          <t>金鑰不在 repo、不在伺服器；備份放在兩個地方</t>
        </is>
      </c>
      <c r="H62" s="24" t="inlineStr">
        <is>
          <t>P0-14</t>
        </is>
      </c>
      <c r="I62" s="24" t="inlineStr">
        <is>
          <t>Jacky</t>
        </is>
      </c>
      <c r="J62" s="23" t="inlineStr">
        <is>
          <t>未開始</t>
        </is>
      </c>
      <c r="K62" s="25" t="n"/>
      <c r="L62" s="23">
        <f>IF(J62="已完成",IF(K62="","",MAX(0,K62-F62)),IF(TODAY()&gt;F62,TODAY()-F62,""))</f>
        <v/>
      </c>
      <c r="M62" s="24" t="inlineStr">
        <is>
          <t>金鑰遺失 = 所有玩具不能再 OTA</t>
        </is>
      </c>
    </row>
    <row r="63" ht="34" customHeight="1">
      <c r="A63" s="23" t="n">
        <v>57</v>
      </c>
      <c r="B63" s="23" t="inlineStr">
        <is>
          <t>開發</t>
        </is>
      </c>
      <c r="C63" s="24" t="inlineStr">
        <is>
          <t>韌體：分區表和加密</t>
        </is>
      </c>
      <c r="D63" s="24" t="inlineStr">
        <is>
          <t>編譯流程加簽名和 Flash 加密</t>
        </is>
      </c>
      <c r="E63" s="25" t="n">
        <v>46330</v>
      </c>
      <c r="F63" s="25" t="n">
        <v>46336</v>
      </c>
      <c r="G63" s="24" t="inlineStr">
        <is>
          <t>一條命令出簽名後的正式映像</t>
        </is>
      </c>
      <c r="H63" s="24" t="inlineStr">
        <is>
          <t>P0-14</t>
        </is>
      </c>
      <c r="I63" s="24" t="inlineStr">
        <is>
          <t>Jacky</t>
        </is>
      </c>
      <c r="J63" s="23" t="inlineStr">
        <is>
          <t>未開始</t>
        </is>
      </c>
      <c r="K63" s="25" t="n"/>
      <c r="L63" s="23">
        <f>IF(J63="已完成",IF(K63="","",MAX(0,K63-F63)),IF(TODAY()&gt;F63,TODAY()-F63,""))</f>
        <v/>
      </c>
      <c r="M63" s="24" t="inlineStr"/>
    </row>
    <row r="64" ht="34" customHeight="1">
      <c r="A64" s="23" t="n">
        <v>58</v>
      </c>
      <c r="B64" s="26" t="inlineStr">
        <is>
          <t>測試</t>
        </is>
      </c>
      <c r="C64" s="24" t="inlineStr">
        <is>
          <t>韌體：分區表和加密</t>
        </is>
      </c>
      <c r="D64" s="24" t="inlineStr">
        <is>
          <t>一片測試板燒 eFuse：簽名映像開機、未簽名映像 OTA、讀出 flash</t>
        </is>
      </c>
      <c r="E64" s="25" t="n">
        <v>46337</v>
      </c>
      <c r="F64" s="25" t="n">
        <v>46339</v>
      </c>
      <c r="G64" s="24" t="inlineStr">
        <is>
          <t>簽名映像正常；未簽名映像被拒；讀出的 flash 是密文</t>
        </is>
      </c>
      <c r="H64" s="24" t="inlineStr">
        <is>
          <t>P0-14</t>
        </is>
      </c>
      <c r="I64" s="24" t="inlineStr">
        <is>
          <t>Jacky</t>
        </is>
      </c>
      <c r="J64" s="23" t="inlineStr">
        <is>
          <t>未開始</t>
        </is>
      </c>
      <c r="K64" s="25" t="n"/>
      <c r="L64" s="23">
        <f>IF(J64="已完成",IF(K64="","",MAX(0,K64-F64)),IF(TODAY()&gt;F64,TODAY()-F64,""))</f>
        <v/>
      </c>
      <c r="M64" s="24" t="inlineStr">
        <is>
          <t>燒 eFuse 不可逆，用一片專用測試板</t>
        </is>
      </c>
    </row>
    <row r="65" ht="34" customHeight="1">
      <c r="A65" s="23" t="n">
        <v>59</v>
      </c>
      <c r="B65" s="26" t="inlineStr">
        <is>
          <t>測試</t>
        </is>
      </c>
      <c r="C65" s="24" t="inlineStr">
        <is>
          <t>韌體：分區表和加密</t>
        </is>
      </c>
      <c r="D65" s="24" t="inlineStr">
        <is>
          <t>加密後的板子走一次配網、對話、OTA</t>
        </is>
      </c>
      <c r="E65" s="25" t="n">
        <v>46338</v>
      </c>
      <c r="F65" s="25" t="n">
        <v>46339</v>
      </c>
      <c r="G65" s="24" t="inlineStr">
        <is>
          <t>功能和加密前一樣；記錄開機時間</t>
        </is>
      </c>
      <c r="H65" s="24" t="inlineStr">
        <is>
          <t>P0-14</t>
        </is>
      </c>
      <c r="I65" s="24" t="inlineStr">
        <is>
          <t>Jacky</t>
        </is>
      </c>
      <c r="J65" s="23" t="inlineStr">
        <is>
          <t>未開始</t>
        </is>
      </c>
      <c r="K65" s="25" t="n"/>
      <c r="L65" s="23">
        <f>IF(J65="已完成",IF(K65="","",MAX(0,K65-F65)),IF(TODAY()&gt;F65,TODAY()-F65,""))</f>
        <v/>
      </c>
      <c r="M65" s="24" t="inlineStr"/>
    </row>
    <row r="66" ht="34" customHeight="1">
      <c r="A66" s="23" t="n">
        <v>60</v>
      </c>
      <c r="B66" s="23" t="inlineStr">
        <is>
          <t>開發</t>
        </is>
      </c>
      <c r="C66" s="24" t="inlineStr">
        <is>
          <t>韌體：分區表和加密</t>
        </is>
      </c>
      <c r="D66" s="24" t="inlineStr">
        <is>
          <t>分區表和加密設定凍結，寫進文件</t>
        </is>
      </c>
      <c r="E66" s="25" t="n">
        <v>46339</v>
      </c>
      <c r="F66" s="25" t="n">
        <v>46339</v>
      </c>
      <c r="G66" s="24" t="inlineStr">
        <is>
          <t>之後不再改；文件寫明分區和 eFuse 設定</t>
        </is>
      </c>
      <c r="H66" s="24" t="inlineStr">
        <is>
          <t>P2-12、P0-14</t>
        </is>
      </c>
      <c r="I66" s="24" t="inlineStr">
        <is>
          <t>Jacky</t>
        </is>
      </c>
      <c r="J66" s="23" t="inlineStr">
        <is>
          <t>未開始</t>
        </is>
      </c>
      <c r="K66" s="25" t="n"/>
      <c r="L66" s="23">
        <f>IF(J66="已完成",IF(K66="","",MAX(0,K66-F66)),IF(TODAY()&gt;F66,TODAY()-F66,""))</f>
        <v/>
      </c>
      <c r="M66" s="24" t="inlineStr">
        <is>
          <t>11/13 凍結</t>
        </is>
      </c>
    </row>
    <row r="67" ht="34" customHeight="1">
      <c r="A67" s="20" t="n">
        <v>61</v>
      </c>
      <c r="B67" s="20" t="inlineStr">
        <is>
          <t>開發</t>
        </is>
      </c>
      <c r="C67" s="21" t="inlineStr">
        <is>
          <t>韌體：按品牌連線</t>
        </is>
      </c>
      <c r="D67" s="21" t="inlineStr">
        <is>
          <t>伺服器網址改從出廠設定讀取（品牌、網址）</t>
        </is>
      </c>
      <c r="E67" s="22" t="n">
        <v>46328</v>
      </c>
      <c r="F67" s="22" t="n">
        <v>46336</v>
      </c>
      <c r="G67" s="21" t="inlineStr">
        <is>
          <t>程式碼裡不再寫死 elatoai.hkqft.com</t>
        </is>
      </c>
      <c r="H67" s="21" t="inlineStr">
        <is>
          <t>R-35</t>
        </is>
      </c>
      <c r="I67" s="21" t="inlineStr">
        <is>
          <t>Jacky</t>
        </is>
      </c>
      <c r="J67" s="20" t="inlineStr">
        <is>
          <t>未開始</t>
        </is>
      </c>
      <c r="K67" s="22" t="n"/>
      <c r="L67" s="20">
        <f>IF(J67="已完成",IF(K67="","",MAX(0,K67-F67)),IF(TODAY()&gt;F67,TODAY()-F67,""))</f>
        <v/>
      </c>
      <c r="M67" s="21" t="inlineStr"/>
    </row>
    <row r="68" ht="34" customHeight="1">
      <c r="A68" s="23" t="n">
        <v>62</v>
      </c>
      <c r="B68" s="23" t="inlineStr">
        <is>
          <t>開發</t>
        </is>
      </c>
      <c r="C68" s="24" t="inlineStr">
        <is>
          <t>韌體：按品牌連線</t>
        </is>
      </c>
      <c r="D68" s="24" t="inlineStr">
        <is>
          <t>出廠設定是空白時不連任何正式伺服器，進入出廠模式</t>
        </is>
      </c>
      <c r="E68" s="25" t="n">
        <v>46335</v>
      </c>
      <c r="F68" s="25" t="n">
        <v>46337</v>
      </c>
      <c r="G68" s="24" t="inlineStr">
        <is>
          <t>空白板開機後停在出廠模式</t>
        </is>
      </c>
      <c r="H68" s="24" t="inlineStr">
        <is>
          <t>R-35</t>
        </is>
      </c>
      <c r="I68" s="24" t="inlineStr">
        <is>
          <t>Jacky</t>
        </is>
      </c>
      <c r="J68" s="23" t="inlineStr">
        <is>
          <t>未開始</t>
        </is>
      </c>
      <c r="K68" s="25" t="n"/>
      <c r="L68" s="23">
        <f>IF(J68="已完成",IF(K68="","",MAX(0,K68-F68)),IF(TODAY()&gt;F68,TODAY()-F68,""))</f>
        <v/>
      </c>
      <c r="M68" s="24" t="inlineStr"/>
    </row>
    <row r="69" ht="34" customHeight="1">
      <c r="A69" s="23" t="n">
        <v>63</v>
      </c>
      <c r="B69" s="26" t="inlineStr">
        <is>
          <t>測試</t>
        </is>
      </c>
      <c r="C69" s="24" t="inlineStr">
        <is>
          <t>韌體：按品牌連線</t>
        </is>
      </c>
      <c r="D69" s="24" t="inlineStr">
        <is>
          <t>兩片板寫入不同品牌，各自開機</t>
        </is>
      </c>
      <c r="E69" s="25" t="n">
        <v>46338</v>
      </c>
      <c r="F69" s="25" t="n">
        <v>46339</v>
      </c>
      <c r="G69" s="24" t="inlineStr">
        <is>
          <t>各自連上自己那套系統；清空設定後不連任何正式伺服器</t>
        </is>
      </c>
      <c r="H69" s="24" t="inlineStr">
        <is>
          <t>R-35</t>
        </is>
      </c>
      <c r="I69" s="24" t="inlineStr">
        <is>
          <t>Jacky</t>
        </is>
      </c>
      <c r="J69" s="23" t="inlineStr">
        <is>
          <t>未開始</t>
        </is>
      </c>
      <c r="K69" s="25" t="n"/>
      <c r="L69" s="23">
        <f>IF(J69="已完成",IF(K69="","",MAX(0,K69-F69)),IF(TODAY()&gt;F69,TODAY()-F69,""))</f>
        <v/>
      </c>
      <c r="M69" s="24" t="inlineStr">
        <is>
          <t>需要第二套系統先臨時跑起來</t>
        </is>
      </c>
    </row>
    <row r="70" ht="34" customHeight="1">
      <c r="A70" s="20" t="n">
        <v>64</v>
      </c>
      <c r="B70" s="20" t="inlineStr">
        <is>
          <t>開發</t>
        </is>
      </c>
      <c r="C70" s="21" t="inlineStr">
        <is>
          <t>角色和內容</t>
        </is>
      </c>
      <c r="D70" s="21" t="inlineStr">
        <is>
          <t>把設計負責人（待定）的人設、開場白、提示語、聲線放進系統（快活、政協青年聯會）</t>
        </is>
      </c>
      <c r="E70" s="22" t="n">
        <v>46335</v>
      </c>
      <c r="F70" s="22" t="n">
        <v>46338</v>
      </c>
      <c r="G70" s="21" t="inlineStr">
        <is>
          <t>每個角色都能選、能對話</t>
        </is>
      </c>
      <c r="H70" s="21" t="inlineStr">
        <is>
          <t>R-24</t>
        </is>
      </c>
      <c r="I70" s="21" t="inlineStr">
        <is>
          <t>Jacky</t>
        </is>
      </c>
      <c r="J70" s="20" t="inlineStr">
        <is>
          <t>未開始</t>
        </is>
      </c>
      <c r="K70" s="22" t="n"/>
      <c r="L70" s="20">
        <f>IF(J70="已完成",IF(K70="","",MAX(0,K70-F70)),IF(TODAY()&gt;F70,TODAY()-F70,""))</f>
        <v/>
      </c>
      <c r="M70" s="21" t="inlineStr">
        <is>
          <t>設計負責人（待定）11/13 定稿，初稿先放</t>
        </is>
      </c>
    </row>
    <row r="71" ht="34" customHeight="1">
      <c r="A71" s="23" t="n">
        <v>65</v>
      </c>
      <c r="B71" s="26" t="inlineStr">
        <is>
          <t>測試</t>
        </is>
      </c>
      <c r="C71" s="24" t="inlineStr">
        <is>
          <t>角色和內容</t>
        </is>
      </c>
      <c r="D71" s="24" t="inlineStr">
        <is>
          <t>每個角色試聽 20 句，錄音給客戶確認</t>
        </is>
      </c>
      <c r="E71" s="25" t="n">
        <v>46338</v>
      </c>
      <c r="F71" s="25" t="n">
        <v>46339</v>
      </c>
      <c r="G71" s="24" t="inlineStr">
        <is>
          <t>客戶確認每個角色</t>
        </is>
      </c>
      <c r="H71" s="24" t="inlineStr">
        <is>
          <t>R-24</t>
        </is>
      </c>
      <c r="I71" s="24" t="inlineStr">
        <is>
          <t>Jacky、待定</t>
        </is>
      </c>
      <c r="J71" s="23" t="inlineStr">
        <is>
          <t>未開始</t>
        </is>
      </c>
      <c r="K71" s="25" t="n"/>
      <c r="L71" s="23">
        <f>IF(J71="已完成",IF(K71="","",MAX(0,K71-F71)),IF(TODAY()&gt;F71,TODAY()-F71,""))</f>
        <v/>
      </c>
      <c r="M71" s="24" t="inlineStr"/>
    </row>
    <row r="72" ht="34" customHeight="1">
      <c r="A72" s="20" t="n">
        <v>66</v>
      </c>
      <c r="B72" s="20" t="inlineStr">
        <is>
          <t>開發</t>
        </is>
      </c>
      <c r="C72" s="21" t="inlineStr">
        <is>
          <t>網頁：功能開關和政協</t>
        </is>
      </c>
      <c r="D72" s="21" t="inlineStr">
        <is>
          <t>會員綁定</t>
        </is>
      </c>
      <c r="E72" s="22" t="n">
        <v>46335</v>
      </c>
      <c r="F72" s="22" t="n">
        <v>46342</v>
      </c>
      <c r="G72" s="21" t="inlineStr">
        <is>
          <t>按 Q12 的決定完成（我們自己的帳號或馬會登入）</t>
        </is>
      </c>
      <c r="H72" s="21" t="inlineStr">
        <is>
          <t>R-30、Q12</t>
        </is>
      </c>
      <c r="I72" s="21" t="inlineStr">
        <is>
          <t>Jacky</t>
        </is>
      </c>
      <c r="J72" s="20" t="inlineStr">
        <is>
          <t>未開始</t>
        </is>
      </c>
      <c r="K72" s="22" t="n"/>
      <c r="L72" s="20">
        <f>IF(J72="已完成",IF(K72="","",MAX(0,K72-F72)),IF(TODAY()&gt;F72,TODAY()-F72,""))</f>
        <v/>
      </c>
      <c r="M72" s="21" t="inlineStr">
        <is>
          <t>要先回答 Q12</t>
        </is>
      </c>
    </row>
    <row r="73" ht="34" customHeight="1">
      <c r="A73" s="23" t="n">
        <v>67</v>
      </c>
      <c r="B73" s="23" t="inlineStr">
        <is>
          <t>開發</t>
        </is>
      </c>
      <c r="C73" s="24" t="inlineStr">
        <is>
          <t>網頁：功能開關和政協</t>
        </is>
      </c>
      <c r="D73" s="24" t="inlineStr">
        <is>
          <t>查看記憶、一鍵忘記</t>
        </is>
      </c>
      <c r="E73" s="25" t="n">
        <v>46335</v>
      </c>
      <c r="F73" s="25" t="n">
        <v>46339</v>
      </c>
      <c r="G73" s="24" t="inlineStr">
        <is>
          <t>看到的記憶只屬於自己的設備；忘記後不會再出現</t>
        </is>
      </c>
      <c r="H73" s="24" t="inlineStr">
        <is>
          <t>R-30、P1-12</t>
        </is>
      </c>
      <c r="I73" s="24" t="inlineStr">
        <is>
          <t>Jacky</t>
        </is>
      </c>
      <c r="J73" s="23" t="inlineStr">
        <is>
          <t>未開始</t>
        </is>
      </c>
      <c r="K73" s="25" t="n"/>
      <c r="L73" s="23">
        <f>IF(J73="已完成",IF(K73="","",MAX(0,K73-F73)),IF(TODAY()&gt;F73,TODAY()-F73,""))</f>
        <v/>
      </c>
      <c r="M73" s="24" t="inlineStr"/>
    </row>
    <row r="74" ht="34" customHeight="1">
      <c r="A74" s="23" t="n">
        <v>68</v>
      </c>
      <c r="B74" s="23" t="inlineStr">
        <is>
          <t>開發</t>
        </is>
      </c>
      <c r="C74" s="24" t="inlineStr">
        <is>
          <t>網頁：功能開關和政協</t>
        </is>
      </c>
      <c r="D74" s="24" t="inlineStr">
        <is>
          <t>選語言（粵、普、英）：介面和語音回答都跟著切換</t>
        </is>
      </c>
      <c r="E74" s="25" t="n">
        <v>46339</v>
      </c>
      <c r="F74" s="25" t="n">
        <v>46344</v>
      </c>
      <c r="G74" s="24" t="inlineStr">
        <is>
          <t>三種語言的介面和回答都正確</t>
        </is>
      </c>
      <c r="H74" s="24" t="inlineStr">
        <is>
          <t>R-30</t>
        </is>
      </c>
      <c r="I74" s="24" t="inlineStr">
        <is>
          <t>Jacky</t>
        </is>
      </c>
      <c r="J74" s="23" t="inlineStr">
        <is>
          <t>未開始</t>
        </is>
      </c>
      <c r="K74" s="25" t="n"/>
      <c r="L74" s="23">
        <f>IF(J74="已完成",IF(K74="","",MAX(0,K74-F74)),IF(TODAY()&gt;F74,TODAY()-F74,""))</f>
        <v/>
      </c>
      <c r="M74" s="24" t="inlineStr"/>
    </row>
    <row r="75" ht="34" customHeight="1">
      <c r="A75" s="23" t="n">
        <v>69</v>
      </c>
      <c r="B75" s="23" t="inlineStr">
        <is>
          <t>開發</t>
        </is>
      </c>
      <c r="C75" s="24" t="inlineStr">
        <is>
          <t>網頁：功能開關和政協</t>
        </is>
      </c>
      <c r="D75" s="24" t="inlineStr">
        <is>
          <t>政協青年聯會的外觀包和角色，用成人版流程</t>
        </is>
      </c>
      <c r="E75" s="25" t="n">
        <v>46342</v>
      </c>
      <c r="F75" s="25" t="n">
        <v>46345</v>
      </c>
      <c r="G75" s="24" t="inlineStr">
        <is>
          <t>只換外觀和角色，沒有另寫頁面</t>
        </is>
      </c>
      <c r="H75" s="24" t="inlineStr">
        <is>
          <t>R-31</t>
        </is>
      </c>
      <c r="I75" s="24" t="inlineStr">
        <is>
          <t>Jacky</t>
        </is>
      </c>
      <c r="J75" s="23" t="inlineStr">
        <is>
          <t>未開始</t>
        </is>
      </c>
      <c r="K75" s="25" t="n"/>
      <c r="L75" s="23">
        <f>IF(J75="已完成",IF(K75="","",MAX(0,K75-F75)),IF(TODAY()&gt;F75,TODAY()-F75,""))</f>
        <v/>
      </c>
      <c r="M75" s="24" t="inlineStr"/>
    </row>
    <row r="76" ht="34" customHeight="1">
      <c r="A76" s="23" t="n">
        <v>70</v>
      </c>
      <c r="B76" s="26" t="inlineStr">
        <is>
          <t>測試</t>
        </is>
      </c>
      <c r="C76" s="24" t="inlineStr">
        <is>
          <t>網頁：功能開關和政協</t>
        </is>
      </c>
      <c r="D76" s="24" t="inlineStr">
        <is>
          <t>快活每個功能開關打開、關閉各測一次</t>
        </is>
      </c>
      <c r="E76" s="25" t="n">
        <v>46346</v>
      </c>
      <c r="F76" s="25" t="n">
        <v>46346</v>
      </c>
      <c r="G76" s="24" t="inlineStr">
        <is>
          <t>關閉時入口不出現；打開時功能正常</t>
        </is>
      </c>
      <c r="H76" s="24" t="inlineStr">
        <is>
          <t>R-30</t>
        </is>
      </c>
      <c r="I76" s="24" t="inlineStr">
        <is>
          <t>Jacky</t>
        </is>
      </c>
      <c r="J76" s="23" t="inlineStr">
        <is>
          <t>未開始</t>
        </is>
      </c>
      <c r="K76" s="25" t="n"/>
      <c r="L76" s="23">
        <f>IF(J76="已完成",IF(K76="","",MAX(0,K76-F76)),IF(TODAY()&gt;F76,TODAY()-F76,""))</f>
        <v/>
      </c>
      <c r="M76" s="24" t="inlineStr"/>
    </row>
    <row r="77" ht="34" customHeight="1">
      <c r="A77" s="23" t="n">
        <v>71</v>
      </c>
      <c r="B77" s="26" t="inlineStr">
        <is>
          <t>測試</t>
        </is>
      </c>
      <c r="C77" s="24" t="inlineStr">
        <is>
          <t>網頁：功能開關和政協</t>
        </is>
      </c>
      <c r="D77" s="24" t="inlineStr">
        <is>
          <t>政協青年聯會版走一次全流程</t>
        </is>
      </c>
      <c r="E77" s="25" t="n">
        <v>46346</v>
      </c>
      <c r="F77" s="25" t="n">
        <v>46346</v>
      </c>
      <c r="G77" s="24" t="inlineStr">
        <is>
          <t>全部正常；介面沒有出現「快活」或馬會字樣</t>
        </is>
      </c>
      <c r="H77" s="24" t="inlineStr">
        <is>
          <t>R-31</t>
        </is>
      </c>
      <c r="I77" s="24" t="inlineStr">
        <is>
          <t>Jacky</t>
        </is>
      </c>
      <c r="J77" s="23" t="inlineStr">
        <is>
          <t>未開始</t>
        </is>
      </c>
      <c r="K77" s="25" t="n"/>
      <c r="L77" s="23">
        <f>IF(J77="已完成",IF(K77="","",MAX(0,K77-F77)),IF(TODAY()&gt;F77,TODAY()-F77,""))</f>
        <v/>
      </c>
      <c r="M77" s="24" t="inlineStr"/>
    </row>
    <row r="78" ht="34" customHeight="1">
      <c r="A78" s="20" t="n">
        <v>72</v>
      </c>
      <c r="B78" s="20" t="inlineStr">
        <is>
          <t>開發</t>
        </is>
      </c>
      <c r="C78" s="21" t="inlineStr">
        <is>
          <t>後台管理</t>
        </is>
      </c>
      <c r="D78" s="21" t="inlineStr">
        <is>
          <t>內容管理員：上載知識庫並送審、發佈角色</t>
        </is>
      </c>
      <c r="E78" s="22" t="n">
        <v>46328</v>
      </c>
      <c r="F78" s="22" t="n">
        <v>46339</v>
      </c>
      <c r="G78" s="21" t="inlineStr">
        <is>
          <t>可以上載、送審、發佈</t>
        </is>
      </c>
      <c r="H78" s="21" t="inlineStr">
        <is>
          <t>P0-12</t>
        </is>
      </c>
      <c r="I78" s="21" t="inlineStr">
        <is>
          <t>Jacky</t>
        </is>
      </c>
      <c r="J78" s="20" t="inlineStr">
        <is>
          <t>未開始</t>
        </is>
      </c>
      <c r="K78" s="22" t="n"/>
      <c r="L78" s="20">
        <f>IF(J78="已完成",IF(K78="","",MAX(0,K78-F78)),IF(TODAY()&gt;F78,TODAY()-F78,""))</f>
        <v/>
      </c>
      <c r="M78" s="21" t="inlineStr"/>
    </row>
    <row r="79" ht="34" customHeight="1">
      <c r="A79" s="23" t="n">
        <v>73</v>
      </c>
      <c r="B79" s="23" t="inlineStr">
        <is>
          <t>開發</t>
        </is>
      </c>
      <c r="C79" s="24" t="inlineStr">
        <is>
          <t>後台管理</t>
        </is>
      </c>
      <c r="D79" s="24" t="inlineStr">
        <is>
          <t>超級管理員：設備列表（最後上線、韌體版本、錯誤）</t>
        </is>
      </c>
      <c r="E79" s="25" t="n">
        <v>46335</v>
      </c>
      <c r="F79" s="25" t="n">
        <v>46343</v>
      </c>
      <c r="G79" s="24" t="inlineStr">
        <is>
          <t>每台設備的狀態一目了然</t>
        </is>
      </c>
      <c r="H79" s="24" t="inlineStr">
        <is>
          <t>R-11</t>
        </is>
      </c>
      <c r="I79" s="24" t="inlineStr">
        <is>
          <t>Jacky</t>
        </is>
      </c>
      <c r="J79" s="23" t="inlineStr">
        <is>
          <t>未開始</t>
        </is>
      </c>
      <c r="K79" s="25" t="n"/>
      <c r="L79" s="23">
        <f>IF(J79="已完成",IF(K79="","",MAX(0,K79-F79)),IF(TODAY()&gt;F79,TODAY()-F79,""))</f>
        <v/>
      </c>
      <c r="M79" s="24" t="inlineStr"/>
    </row>
    <row r="80" ht="34" customHeight="1">
      <c r="A80" s="23" t="n">
        <v>74</v>
      </c>
      <c r="B80" s="23" t="inlineStr">
        <is>
          <t>開發</t>
        </is>
      </c>
      <c r="C80" s="24" t="inlineStr">
        <is>
          <t>後台管理</t>
        </is>
      </c>
      <c r="D80" s="24" t="inlineStr">
        <is>
          <t>超級管理員：發佈 OTA、解綁、換機</t>
        </is>
      </c>
      <c r="E80" s="25" t="n">
        <v>46339</v>
      </c>
      <c r="F80" s="25" t="n">
        <v>46345</v>
      </c>
      <c r="G80" s="24" t="inlineStr">
        <is>
          <t>三項操作都可以在後台完成</t>
        </is>
      </c>
      <c r="H80" s="24" t="inlineStr">
        <is>
          <t>R-11、P0-13</t>
        </is>
      </c>
      <c r="I80" s="24" t="inlineStr">
        <is>
          <t>Jacky</t>
        </is>
      </c>
      <c r="J80" s="23" t="inlineStr">
        <is>
          <t>未開始</t>
        </is>
      </c>
      <c r="K80" s="25" t="n"/>
      <c r="L80" s="23">
        <f>IF(J80="已完成",IF(K80="","",MAX(0,K80-F80)),IF(TODAY()&gt;F80,TODAY()-F80,""))</f>
        <v/>
      </c>
      <c r="M80" s="24" t="inlineStr"/>
    </row>
    <row r="81" ht="49" customHeight="1">
      <c r="A81" s="23" t="n">
        <v>75</v>
      </c>
      <c r="B81" s="26" t="inlineStr">
        <is>
          <t>測試</t>
        </is>
      </c>
      <c r="C81" s="24" t="inlineStr">
        <is>
          <t>後台管理</t>
        </is>
      </c>
      <c r="D81" s="24" t="inlineStr">
        <is>
          <t>權限測試：內容管理員、超級管理員、普通用戶各登入一次</t>
        </is>
      </c>
      <c r="E81" s="25" t="n">
        <v>46346</v>
      </c>
      <c r="F81" s="25" t="n">
        <v>46346</v>
      </c>
      <c r="G81" s="24" t="inlineStr">
        <is>
          <t>每種角色只看到自己可以做的；任何管理員都看不到對話內容（網頁和資料庫兩層都查）</t>
        </is>
      </c>
      <c r="H81" s="24" t="inlineStr">
        <is>
          <t>P0-12</t>
        </is>
      </c>
      <c r="I81" s="24" t="inlineStr">
        <is>
          <t>Jacky</t>
        </is>
      </c>
      <c r="J81" s="23" t="inlineStr">
        <is>
          <t>未開始</t>
        </is>
      </c>
      <c r="K81" s="25" t="n"/>
      <c r="L81" s="23">
        <f>IF(J81="已完成",IF(K81="","",MAX(0,K81-F81)),IF(TODAY()&gt;F81,TODAY()-F81,""))</f>
        <v/>
      </c>
      <c r="M81" s="24" t="inlineStr"/>
    </row>
    <row r="82" ht="34" customHeight="1">
      <c r="A82" s="20" t="n">
        <v>76</v>
      </c>
      <c r="B82" s="20" t="inlineStr">
        <is>
          <t>開發</t>
        </is>
      </c>
      <c r="C82" s="21" t="inlineStr">
        <is>
          <t>內部測試</t>
        </is>
      </c>
      <c r="D82" s="21" t="inlineStr">
        <is>
          <t>每週數據報表：對話輪數、首字延遲、每台成本、安全事件</t>
        </is>
      </c>
      <c r="E82" s="22" t="n">
        <v>46328</v>
      </c>
      <c r="F82" s="22" t="n">
        <v>46332</v>
      </c>
      <c r="G82" s="21" t="inlineStr">
        <is>
          <t>一條命令出報表</t>
        </is>
      </c>
      <c r="H82" s="21" t="inlineStr">
        <is>
          <t>R-07、P2-09</t>
        </is>
      </c>
      <c r="I82" s="21" t="inlineStr">
        <is>
          <t>Jacky</t>
        </is>
      </c>
      <c r="J82" s="20" t="inlineStr">
        <is>
          <t>未開始</t>
        </is>
      </c>
      <c r="K82" s="22" t="n"/>
      <c r="L82" s="20">
        <f>IF(J82="已完成",IF(K82="","",MAX(0,K82-F82)),IF(TODAY()&gt;F82,TODAY()-F82,""))</f>
        <v/>
      </c>
      <c r="M82" s="21" t="inlineStr"/>
    </row>
    <row r="83" ht="19" customHeight="1">
      <c r="A83" s="23" t="n">
        <v>77</v>
      </c>
      <c r="B83" s="26" t="inlineStr">
        <is>
          <t>測試</t>
        </is>
      </c>
      <c r="C83" s="24" t="inlineStr">
        <is>
          <t>內部測試</t>
        </is>
      </c>
      <c r="D83" s="24" t="inlineStr">
        <is>
          <t>20 台內部測試，每週出一次報表</t>
        </is>
      </c>
      <c r="E83" s="25" t="n">
        <v>46328</v>
      </c>
      <c r="F83" s="25" t="n">
        <v>46353</v>
      </c>
      <c r="G83" s="24" t="inlineStr">
        <is>
          <t>4 份週報齊全；第 4 週出測試報告</t>
        </is>
      </c>
      <c r="H83" s="24" t="inlineStr">
        <is>
          <t>R-07</t>
        </is>
      </c>
      <c r="I83" s="24" t="inlineStr">
        <is>
          <t>全體</t>
        </is>
      </c>
      <c r="J83" s="23" t="inlineStr">
        <is>
          <t>未開始</t>
        </is>
      </c>
      <c r="K83" s="25" t="n"/>
      <c r="L83" s="23">
        <f>IF(J83="已完成",IF(K83="","",MAX(0,K83-F83)),IF(TODAY()&gt;F83,TODAY()-F83,""))</f>
        <v/>
      </c>
      <c r="M83" s="24" t="inlineStr"/>
    </row>
    <row r="84" ht="34" customHeight="1">
      <c r="A84" s="20" t="n">
        <v>78</v>
      </c>
      <c r="B84" s="20" t="inlineStr">
        <is>
          <t>開發</t>
        </is>
      </c>
      <c r="C84" s="21" t="inlineStr">
        <is>
          <t>出廠模式和工位</t>
        </is>
      </c>
      <c r="D84" s="21" t="inlineStr">
        <is>
          <t>韌體出廠模式：經序列埠寫入密鑰、品牌、款式</t>
        </is>
      </c>
      <c r="E84" s="22" t="n">
        <v>46342</v>
      </c>
      <c r="F84" s="22" t="n">
        <v>46346</v>
      </c>
      <c r="G84" s="21" t="inlineStr">
        <is>
          <t>寫入後重新開機，連上該品牌系統</t>
        </is>
      </c>
      <c r="H84" s="21" t="inlineStr">
        <is>
          <t>R-10</t>
        </is>
      </c>
      <c r="I84" s="21" t="inlineStr">
        <is>
          <t>Jacky</t>
        </is>
      </c>
      <c r="J84" s="20" t="inlineStr">
        <is>
          <t>未開始</t>
        </is>
      </c>
      <c r="K84" s="22" t="n"/>
      <c r="L84" s="20">
        <f>IF(J84="已完成",IF(K84="","",MAX(0,K84-F84)),IF(TODAY()&gt;F84,TODAY()-F84,""))</f>
        <v/>
      </c>
      <c r="M84" s="21" t="inlineStr"/>
    </row>
    <row r="85" ht="34" customHeight="1">
      <c r="A85" s="23" t="n">
        <v>79</v>
      </c>
      <c r="B85" s="23" t="inlineStr">
        <is>
          <t>開發</t>
        </is>
      </c>
      <c r="C85" s="24" t="inlineStr">
        <is>
          <t>出廠模式和工位</t>
        </is>
      </c>
      <c r="D85" s="24" t="inlineStr">
        <is>
          <t>韌體自檢指令：喇叭、麥克風、按鍵、燈、Wi-Fi、電池</t>
        </is>
      </c>
      <c r="E85" s="25" t="n">
        <v>46342</v>
      </c>
      <c r="F85" s="25" t="n">
        <v>46346</v>
      </c>
      <c r="G85" s="24" t="inlineStr">
        <is>
          <t>每項回傳通過或失敗</t>
        </is>
      </c>
      <c r="H85" s="24" t="inlineStr">
        <is>
          <t>R-10</t>
        </is>
      </c>
      <c r="I85" s="24" t="inlineStr">
        <is>
          <t>Jacky</t>
        </is>
      </c>
      <c r="J85" s="23" t="inlineStr">
        <is>
          <t>未開始</t>
        </is>
      </c>
      <c r="K85" s="25" t="n"/>
      <c r="L85" s="23">
        <f>IF(J85="已完成",IF(K85="","",MAX(0,K85-F85)),IF(TODAY()&gt;F85,TODAY()-F85,""))</f>
        <v/>
      </c>
      <c r="M85" s="24" t="inlineStr"/>
    </row>
    <row r="86" ht="34" customHeight="1">
      <c r="A86" s="23" t="n">
        <v>80</v>
      </c>
      <c r="B86" s="23" t="inlineStr">
        <is>
          <t>開發</t>
        </is>
      </c>
      <c r="C86" s="24" t="inlineStr">
        <is>
          <t>出廠模式和工位</t>
        </is>
      </c>
      <c r="D86" s="24" t="inlineStr">
        <is>
          <t>工位腳本：讀 MAC、產生密鑰、寫入、自檢、登記、顯示結果</t>
        </is>
      </c>
      <c r="E86" s="25" t="n">
        <v>46344</v>
      </c>
      <c r="F86" s="25" t="n">
        <v>46350</v>
      </c>
      <c r="G86" s="24" t="inlineStr">
        <is>
          <t>一條命令完成一台；結果用大字顯示通過或失敗</t>
        </is>
      </c>
      <c r="H86" s="24" t="inlineStr">
        <is>
          <t>R-10</t>
        </is>
      </c>
      <c r="I86" s="24" t="inlineStr">
        <is>
          <t>Jacky</t>
        </is>
      </c>
      <c r="J86" s="23" t="inlineStr">
        <is>
          <t>未開始</t>
        </is>
      </c>
      <c r="K86" s="25" t="n"/>
      <c r="L86" s="23">
        <f>IF(J86="已完成",IF(K86="","",MAX(0,K86-F86)),IF(TODAY()&gt;F86,TODAY()-F86,""))</f>
        <v/>
      </c>
      <c r="M86" s="24" t="inlineStr"/>
    </row>
    <row r="87" ht="34" customHeight="1">
      <c r="A87" s="23" t="n">
        <v>81</v>
      </c>
      <c r="B87" s="23" t="inlineStr">
        <is>
          <t>開發</t>
        </is>
      </c>
      <c r="C87" s="24" t="inlineStr">
        <is>
          <t>出廠模式和工位</t>
        </is>
      </c>
      <c r="D87" s="24" t="inlineStr">
        <is>
          <t>每套系統加登記接口（工位專用憑證）</t>
        </is>
      </c>
      <c r="E87" s="25" t="n">
        <v>46346</v>
      </c>
      <c r="F87" s="25" t="n">
        <v>46350</v>
      </c>
      <c r="G87" s="24" t="inlineStr">
        <is>
          <t>只有工位能登記；同一台不能重複登記</t>
        </is>
      </c>
      <c r="H87" s="24" t="inlineStr">
        <is>
          <t>R-10、R-34</t>
        </is>
      </c>
      <c r="I87" s="24" t="inlineStr">
        <is>
          <t>Jacky</t>
        </is>
      </c>
      <c r="J87" s="23" t="inlineStr">
        <is>
          <t>未開始</t>
        </is>
      </c>
      <c r="K87" s="25" t="n"/>
      <c r="L87" s="23">
        <f>IF(J87="已完成",IF(K87="","",MAX(0,K87-F87)),IF(TODAY()&gt;F87,TODAY()-F87,""))</f>
        <v/>
      </c>
      <c r="M87" s="24" t="inlineStr"/>
    </row>
    <row r="88" ht="34" customHeight="1">
      <c r="A88" s="23" t="n">
        <v>82</v>
      </c>
      <c r="B88" s="26" t="inlineStr">
        <is>
          <t>測試</t>
        </is>
      </c>
      <c r="C88" s="24" t="inlineStr">
        <is>
          <t>出廠模式和工位</t>
        </is>
      </c>
      <c r="D88" s="24" t="inlineStr">
        <is>
          <t>連續 10 台過工位</t>
        </is>
      </c>
      <c r="E88" s="25" t="n">
        <v>46351</v>
      </c>
      <c r="F88" s="25" t="n">
        <v>46353</v>
      </c>
      <c r="G88" s="24" t="inlineStr">
        <is>
          <t>10 台全部通過；每台不超過 1.5 分鐘</t>
        </is>
      </c>
      <c r="H88" s="24" t="inlineStr">
        <is>
          <t>R-10</t>
        </is>
      </c>
      <c r="I88" s="24" t="inlineStr">
        <is>
          <t>Jacky</t>
        </is>
      </c>
      <c r="J88" s="23" t="inlineStr">
        <is>
          <t>未開始</t>
        </is>
      </c>
      <c r="K88" s="25" t="n"/>
      <c r="L88" s="23">
        <f>IF(J88="已完成",IF(K88="","",MAX(0,K88-F88)),IF(TODAY()&gt;F88,TODAY()-F88,""))</f>
        <v/>
      </c>
      <c r="M88" s="24" t="inlineStr"/>
    </row>
    <row r="89" ht="34" customHeight="1">
      <c r="A89" s="23" t="n">
        <v>83</v>
      </c>
      <c r="B89" s="26" t="inlineStr">
        <is>
          <t>測試</t>
        </is>
      </c>
      <c r="C89" s="24" t="inlineStr">
        <is>
          <t>出廠模式和工位</t>
        </is>
      </c>
      <c r="D89" s="24" t="inlineStr">
        <is>
          <t>混入壞板：拔掉喇叭、拔掉麥克風、低電、重複登記</t>
        </is>
      </c>
      <c r="E89" s="25" t="n">
        <v>46351</v>
      </c>
      <c r="F89" s="25" t="n">
        <v>46353</v>
      </c>
      <c r="G89" s="24" t="inlineStr">
        <is>
          <t>每種都被攔下並顯示原因</t>
        </is>
      </c>
      <c r="H89" s="24" t="inlineStr">
        <is>
          <t>R-10</t>
        </is>
      </c>
      <c r="I89" s="24" t="inlineStr">
        <is>
          <t>Jacky</t>
        </is>
      </c>
      <c r="J89" s="23" t="inlineStr">
        <is>
          <t>未開始</t>
        </is>
      </c>
      <c r="K89" s="25" t="n"/>
      <c r="L89" s="23">
        <f>IF(J89="已完成",IF(K89="","",MAX(0,K89-F89)),IF(TODAY()&gt;F89,TODAY()-F89,""))</f>
        <v/>
      </c>
      <c r="M89" s="24" t="inlineStr"/>
    </row>
    <row r="90" ht="34" customHeight="1">
      <c r="A90" s="23" t="n">
        <v>84</v>
      </c>
      <c r="B90" s="23" t="inlineStr">
        <is>
          <t>開發</t>
        </is>
      </c>
      <c r="C90" s="24" t="inlineStr">
        <is>
          <t>出廠模式和工位</t>
        </is>
      </c>
      <c r="D90" s="24" t="inlineStr">
        <is>
          <t>工位作業指導書（給工廠工人看）</t>
        </is>
      </c>
      <c r="E90" s="25" t="n">
        <v>46353</v>
      </c>
      <c r="F90" s="25" t="n">
        <v>46358</v>
      </c>
      <c r="G90" s="24" t="inlineStr">
        <is>
          <t>工人照著做就能操作，不用我們在場</t>
        </is>
      </c>
      <c r="H90" s="24" t="inlineStr">
        <is>
          <t>R-10</t>
        </is>
      </c>
      <c r="I90" s="24" t="inlineStr">
        <is>
          <t>Jacky</t>
        </is>
      </c>
      <c r="J90" s="23" t="inlineStr">
        <is>
          <t>未開始</t>
        </is>
      </c>
      <c r="K90" s="25" t="n"/>
      <c r="L90" s="23">
        <f>IF(J90="已完成",IF(K90="","",MAX(0,K90-F90)),IF(TODAY()&gt;F90,TODAY()-F90,""))</f>
        <v/>
      </c>
      <c r="M90" s="24" t="inlineStr">
        <is>
          <t>對接人審閱</t>
        </is>
      </c>
    </row>
    <row r="91" ht="34" customHeight="1">
      <c r="A91" s="23" t="n">
        <v>85</v>
      </c>
      <c r="B91" s="26" t="inlineStr">
        <is>
          <t>測試</t>
        </is>
      </c>
      <c r="C91" s="24" t="inlineStr">
        <is>
          <t>出廠模式和工位</t>
        </is>
      </c>
      <c r="D91" s="24" t="inlineStr">
        <is>
          <t>工位在玩具廠試跑 10 台</t>
        </is>
      </c>
      <c r="E91" s="25" t="n">
        <v>46357</v>
      </c>
      <c r="F91" s="25" t="n">
        <v>46360</v>
      </c>
      <c r="G91" s="24" t="inlineStr">
        <is>
          <t>10 台全部通過</t>
        </is>
      </c>
      <c r="H91" s="24" t="inlineStr">
        <is>
          <t>R-10</t>
        </is>
      </c>
      <c r="I91" s="24" t="inlineStr">
        <is>
          <t>Jacky、對接人</t>
        </is>
      </c>
      <c r="J91" s="23" t="inlineStr">
        <is>
          <t>未開始</t>
        </is>
      </c>
      <c r="K91" s="25" t="n"/>
      <c r="L91" s="23">
        <f>IF(J91="已完成",IF(K91="","",MAX(0,K91-F91)),IF(TODAY()&gt;F91,TODAY()-F91,""))</f>
        <v/>
      </c>
      <c r="M91" s="24" t="inlineStr"/>
    </row>
    <row r="92" ht="34" customHeight="1">
      <c r="A92" s="20" t="n">
        <v>86</v>
      </c>
      <c r="B92" s="20" t="inlineStr">
        <is>
          <t>開發</t>
        </is>
      </c>
      <c r="C92" s="21" t="inlineStr">
        <is>
          <t>出廠韌體定版</t>
        </is>
      </c>
      <c r="D92" s="21" t="inlineStr">
        <is>
          <t>打包出廠映像（bootloader、分區表、app、Secure Boot 設定），記錄版本號</t>
        </is>
      </c>
      <c r="E92" s="22" t="n">
        <v>46349</v>
      </c>
      <c r="F92" s="22" t="n">
        <v>46351</v>
      </c>
      <c r="G92" s="21" t="inlineStr">
        <is>
          <t>包含藍牙配網、加密、按品牌連線、出廠模式四項</t>
        </is>
      </c>
      <c r="H92" s="21" t="inlineStr">
        <is>
          <t>R-10、R-21</t>
        </is>
      </c>
      <c r="I92" s="21" t="inlineStr">
        <is>
          <t>Jacky</t>
        </is>
      </c>
      <c r="J92" s="20" t="inlineStr">
        <is>
          <t>未開始</t>
        </is>
      </c>
      <c r="K92" s="22" t="n"/>
      <c r="L92" s="20">
        <f>IF(J92="已完成",IF(K92="","",MAX(0,K92-F92)),IF(TODAY()&gt;F92,TODAY()-F92,""))</f>
        <v/>
      </c>
      <c r="M92" s="21" t="inlineStr">
        <is>
          <t>11/27 交 Spotpear，之後不能改</t>
        </is>
      </c>
    </row>
    <row r="93" ht="34" customHeight="1">
      <c r="A93" s="23" t="n">
        <v>87</v>
      </c>
      <c r="B93" s="23" t="inlineStr">
        <is>
          <t>開發</t>
        </is>
      </c>
      <c r="C93" s="24" t="inlineStr">
        <is>
          <t>出廠韌體定版</t>
        </is>
      </c>
      <c r="D93" s="24" t="inlineStr">
        <is>
          <t>寫 Spotpear 燒錄說明：命令、校驗、MAC 清單格式</t>
        </is>
      </c>
      <c r="E93" s="25" t="n">
        <v>46350</v>
      </c>
      <c r="F93" s="25" t="n">
        <v>46351</v>
      </c>
      <c r="G93" s="24" t="inlineStr">
        <is>
          <t>Spotpear 照著做就能燒</t>
        </is>
      </c>
      <c r="H93" s="24" t="inlineStr">
        <is>
          <t>R-10</t>
        </is>
      </c>
      <c r="I93" s="24" t="inlineStr">
        <is>
          <t>Jacky</t>
        </is>
      </c>
      <c r="J93" s="23" t="inlineStr">
        <is>
          <t>未開始</t>
        </is>
      </c>
      <c r="K93" s="25" t="n"/>
      <c r="L93" s="23">
        <f>IF(J93="已完成",IF(K93="","",MAX(0,K93-F93)),IF(TODAY()&gt;F93,TODAY()-F93,""))</f>
        <v/>
      </c>
      <c r="M93" s="24" t="inlineStr"/>
    </row>
    <row r="94" ht="34" customHeight="1">
      <c r="A94" s="23" t="n">
        <v>88</v>
      </c>
      <c r="B94" s="26" t="inlineStr">
        <is>
          <t>測試</t>
        </is>
      </c>
      <c r="C94" s="24" t="inlineStr">
        <is>
          <t>出廠韌體定版</t>
        </is>
      </c>
      <c r="D94" s="24" t="inlineStr">
        <is>
          <t>我方用 3 片空白板走一次 Spotpear 的燒錄流程</t>
        </is>
      </c>
      <c r="E94" s="25" t="n">
        <v>46351</v>
      </c>
      <c r="F94" s="25" t="n">
        <v>46352</v>
      </c>
      <c r="G94" s="24" t="inlineStr">
        <is>
          <t>3 片都能開機、過工位、配網、對話</t>
        </is>
      </c>
      <c r="H94" s="24" t="inlineStr">
        <is>
          <t>R-10</t>
        </is>
      </c>
      <c r="I94" s="24" t="inlineStr">
        <is>
          <t>Jacky</t>
        </is>
      </c>
      <c r="J94" s="23" t="inlineStr">
        <is>
          <t>未開始</t>
        </is>
      </c>
      <c r="K94" s="25" t="n"/>
      <c r="L94" s="23">
        <f>IF(J94="已完成",IF(K94="","",MAX(0,K94-F94)),IF(TODAY()&gt;F94,TODAY()-F94,""))</f>
        <v/>
      </c>
      <c r="M94" s="24" t="inlineStr"/>
    </row>
    <row r="95" ht="34" customHeight="1">
      <c r="A95" s="23" t="n">
        <v>89</v>
      </c>
      <c r="B95" s="26" t="inlineStr">
        <is>
          <t>測試</t>
        </is>
      </c>
      <c r="C95" s="24" t="inlineStr">
        <is>
          <t>出廠韌體定版</t>
        </is>
      </c>
      <c r="D95" s="24" t="inlineStr">
        <is>
          <t>Spotpear 試燒 10 片寄回，我方驗證</t>
        </is>
      </c>
      <c r="E95" s="25" t="n">
        <v>46353</v>
      </c>
      <c r="F95" s="25" t="n">
        <v>46358</v>
      </c>
      <c r="G95" s="24" t="inlineStr">
        <is>
          <t>10 片開機、工位寫入、配網、對話、OTA 全部正常</t>
        </is>
      </c>
      <c r="H95" s="24" t="inlineStr">
        <is>
          <t>R-10</t>
        </is>
      </c>
      <c r="I95" s="24" t="inlineStr">
        <is>
          <t>Jacky</t>
        </is>
      </c>
      <c r="J95" s="23" t="inlineStr">
        <is>
          <t>未開始</t>
        </is>
      </c>
      <c r="K95" s="25" t="n"/>
      <c r="L95" s="23">
        <f>IF(J95="已完成",IF(K95="","",MAX(0,K95-F95)),IF(TODAY()&gt;F95,TODAY()-F95,""))</f>
        <v/>
      </c>
      <c r="M95" s="24" t="inlineStr">
        <is>
          <t>要在 12/4 量產板到廠前驗完</t>
        </is>
      </c>
    </row>
    <row r="96" ht="34" customHeight="1">
      <c r="A96" s="20" t="n">
        <v>90</v>
      </c>
      <c r="B96" s="20" t="inlineStr">
        <is>
          <t>開發</t>
        </is>
      </c>
      <c r="C96" s="21" t="inlineStr">
        <is>
          <t>網頁功能凍結</t>
        </is>
      </c>
      <c r="D96" s="21" t="inlineStr">
        <is>
          <t>錯誤提示：Wi-Fi 密碼錯、玩具已被綁定、斷網</t>
        </is>
      </c>
      <c r="E96" s="22" t="n">
        <v>46349</v>
      </c>
      <c r="F96" s="22" t="n">
        <v>46351</v>
      </c>
      <c r="G96" s="21" t="inlineStr">
        <is>
          <t>每種情況都有清楚提示，告訴用戶下一步做什麼</t>
        </is>
      </c>
      <c r="H96" s="21" t="inlineStr">
        <is>
          <t>R-28</t>
        </is>
      </c>
      <c r="I96" s="21" t="inlineStr">
        <is>
          <t>Jacky</t>
        </is>
      </c>
      <c r="J96" s="20" t="inlineStr">
        <is>
          <t>未開始</t>
        </is>
      </c>
      <c r="K96" s="22" t="n"/>
      <c r="L96" s="20">
        <f>IF(J96="已完成",IF(K96="","",MAX(0,K96-F96)),IF(TODAY()&gt;F96,TODAY()-F96,""))</f>
        <v/>
      </c>
      <c r="M96" s="21" t="inlineStr"/>
    </row>
    <row r="97" ht="34" customHeight="1">
      <c r="A97" s="23" t="n">
        <v>91</v>
      </c>
      <c r="B97" s="26" t="inlineStr">
        <is>
          <t>測試</t>
        </is>
      </c>
      <c r="C97" s="24" t="inlineStr">
        <is>
          <t>網頁功能凍結</t>
        </is>
      </c>
      <c r="D97" s="24" t="inlineStr">
        <is>
          <t>兩個品牌全流程：安裝 → 登入 → 配網 → 綁定 → 對話 → 解綁</t>
        </is>
      </c>
      <c r="E97" s="25" t="n">
        <v>46352</v>
      </c>
      <c r="F97" s="25" t="n">
        <v>46353</v>
      </c>
      <c r="G97" s="24" t="inlineStr">
        <is>
          <t>iOS、Android 各兩款手機全部通過</t>
        </is>
      </c>
      <c r="H97" s="24" t="inlineStr">
        <is>
          <t>R-28</t>
        </is>
      </c>
      <c r="I97" s="24" t="inlineStr">
        <is>
          <t>Jacky、待定</t>
        </is>
      </c>
      <c r="J97" s="23" t="inlineStr">
        <is>
          <t>未開始</t>
        </is>
      </c>
      <c r="K97" s="25" t="n"/>
      <c r="L97" s="23">
        <f>IF(J97="已完成",IF(K97="","",MAX(0,K97-F97)),IF(TODAY()&gt;F97,TODAY()-F97,""))</f>
        <v/>
      </c>
      <c r="M97" s="24" t="inlineStr"/>
    </row>
    <row r="98" ht="19" customHeight="1">
      <c r="A98" s="23" t="n">
        <v>92</v>
      </c>
      <c r="B98" s="23" t="inlineStr">
        <is>
          <t>開發</t>
        </is>
      </c>
      <c r="C98" s="24" t="inlineStr">
        <is>
          <t>網頁功能凍結</t>
        </is>
      </c>
      <c r="D98" s="24" t="inlineStr">
        <is>
          <t>功能凍結：開發布分支，之後只修 bug</t>
        </is>
      </c>
      <c r="E98" s="25" t="n">
        <v>46353</v>
      </c>
      <c r="F98" s="25" t="n">
        <v>46353</v>
      </c>
      <c r="G98" s="24" t="inlineStr">
        <is>
          <t>凍結版本有標籤</t>
        </is>
      </c>
      <c r="H98" s="24" t="inlineStr"/>
      <c r="I98" s="24" t="inlineStr">
        <is>
          <t>Jacky</t>
        </is>
      </c>
      <c r="J98" s="23" t="inlineStr">
        <is>
          <t>未開始</t>
        </is>
      </c>
      <c r="K98" s="25" t="n"/>
      <c r="L98" s="23">
        <f>IF(J98="已完成",IF(K98="","",MAX(0,K98-F98)),IF(TODAY()&gt;F98,TODAY()-F98,""))</f>
        <v/>
      </c>
      <c r="M98" s="24" t="inlineStr"/>
    </row>
    <row r="99" ht="34" customHeight="1">
      <c r="A99" s="20" t="n">
        <v>93</v>
      </c>
      <c r="B99" s="20" t="inlineStr">
        <is>
          <t>開發</t>
        </is>
      </c>
      <c r="C99" s="21" t="inlineStr">
        <is>
          <t>三套系統</t>
        </is>
      </c>
      <c r="D99" s="21" t="inlineStr">
        <is>
          <t>部署腳本：按品牌逐套更新資料庫、部署、冒煙測試</t>
        </is>
      </c>
      <c r="E99" s="22" t="n">
        <v>46342</v>
      </c>
      <c r="F99" s="22" t="n">
        <v>46350</v>
      </c>
      <c r="G99" s="21" t="inlineStr">
        <is>
          <t>一條命令跑完三套，AI Buddy 先</t>
        </is>
      </c>
      <c r="H99" s="21" t="inlineStr">
        <is>
          <t>R-34</t>
        </is>
      </c>
      <c r="I99" s="21" t="inlineStr">
        <is>
          <t>Jacky</t>
        </is>
      </c>
      <c r="J99" s="20" t="inlineStr">
        <is>
          <t>未開始</t>
        </is>
      </c>
      <c r="K99" s="22" t="n"/>
      <c r="L99" s="20">
        <f>IF(J99="已完成",IF(K99="","",MAX(0,K99-F99)),IF(TODAY()&gt;F99,TODAY()-F99,""))</f>
        <v/>
      </c>
      <c r="M99" s="21" t="inlineStr"/>
    </row>
    <row r="100" ht="34" customHeight="1">
      <c r="A100" s="23" t="n">
        <v>94</v>
      </c>
      <c r="B100" s="23" t="inlineStr">
        <is>
          <t>開發</t>
        </is>
      </c>
      <c r="C100" s="24" t="inlineStr">
        <is>
          <t>三套系統</t>
        </is>
      </c>
      <c r="D100" s="24" t="inlineStr">
        <is>
          <t>開快活、政協青年聯會兩套系統（子網域、密鑰、資料庫、AI 供應商 key）</t>
        </is>
      </c>
      <c r="E100" s="25" t="n">
        <v>46349</v>
      </c>
      <c r="F100" s="25" t="n">
        <v>46353</v>
      </c>
      <c r="G100" s="24" t="inlineStr">
        <is>
          <t>兩套都能登入和對話</t>
        </is>
      </c>
      <c r="H100" s="24" t="inlineStr">
        <is>
          <t>R-34</t>
        </is>
      </c>
      <c r="I100" s="24" t="inlineStr">
        <is>
          <t>Jacky</t>
        </is>
      </c>
      <c r="J100" s="23" t="inlineStr">
        <is>
          <t>未開始</t>
        </is>
      </c>
      <c r="K100" s="25" t="n"/>
      <c r="L100" s="23">
        <f>IF(J100="已完成",IF(K100="","",MAX(0,K100-F100)),IF(TODAY()&gt;F100,TODAY()-F100,""))</f>
        <v/>
      </c>
      <c r="M100" s="24" t="inlineStr">
        <is>
          <t>對接人跟客戶確認子網域</t>
        </is>
      </c>
    </row>
    <row r="101" ht="34" customHeight="1">
      <c r="A101" s="23" t="n">
        <v>95</v>
      </c>
      <c r="B101" s="23" t="inlineStr">
        <is>
          <t>開發</t>
        </is>
      </c>
      <c r="C101" s="24" t="inlineStr">
        <is>
          <t>三套系統</t>
        </is>
      </c>
      <c r="D101" s="24" t="inlineStr">
        <is>
          <t>每套各自備份；一個監控面板，告警寫明品牌</t>
        </is>
      </c>
      <c r="E101" s="25" t="n">
        <v>46353</v>
      </c>
      <c r="F101" s="25" t="n">
        <v>46358</v>
      </c>
      <c r="G101" s="24" t="inlineStr">
        <is>
          <t>三套都有每日備份；告警訊息帶品牌名</t>
        </is>
      </c>
      <c r="H101" s="24" t="inlineStr">
        <is>
          <t>P2-06、P2-07</t>
        </is>
      </c>
      <c r="I101" s="24" t="inlineStr">
        <is>
          <t>Jacky</t>
        </is>
      </c>
      <c r="J101" s="23" t="inlineStr">
        <is>
          <t>未開始</t>
        </is>
      </c>
      <c r="K101" s="25" t="n"/>
      <c r="L101" s="23">
        <f>IF(J101="已完成",IF(K101="","",MAX(0,K101-F101)),IF(TODAY()&gt;F101,TODAY()-F101,""))</f>
        <v/>
      </c>
      <c r="M101" s="24" t="inlineStr"/>
    </row>
    <row r="102" ht="19" customHeight="1">
      <c r="A102" s="23" t="n">
        <v>96</v>
      </c>
      <c r="B102" s="26" t="inlineStr">
        <is>
          <t>測試</t>
        </is>
      </c>
      <c r="C102" s="24" t="inlineStr">
        <is>
          <t>三套系統</t>
        </is>
      </c>
      <c r="D102" s="24" t="inlineStr">
        <is>
          <t>三套冒煙測試：登入、對話、OTA 檢查</t>
        </is>
      </c>
      <c r="E102" s="25" t="n">
        <v>46359</v>
      </c>
      <c r="F102" s="25" t="n">
        <v>46360</v>
      </c>
      <c r="G102" s="24" t="inlineStr">
        <is>
          <t>三套全部通過</t>
        </is>
      </c>
      <c r="H102" s="24" t="inlineStr">
        <is>
          <t>R-34</t>
        </is>
      </c>
      <c r="I102" s="24" t="inlineStr">
        <is>
          <t>Jacky</t>
        </is>
      </c>
      <c r="J102" s="23" t="inlineStr">
        <is>
          <t>未開始</t>
        </is>
      </c>
      <c r="K102" s="25" t="n"/>
      <c r="L102" s="23">
        <f>IF(J102="已完成",IF(K102="","",MAX(0,K102-F102)),IF(TODAY()&gt;F102,TODAY()-F102,""))</f>
        <v/>
      </c>
      <c r="M102" s="24" t="inlineStr"/>
    </row>
    <row r="103" ht="19" customHeight="1">
      <c r="A103" s="23" t="n">
        <v>97</v>
      </c>
      <c r="B103" s="26" t="inlineStr">
        <is>
          <t>測試</t>
        </is>
      </c>
      <c r="C103" s="24" t="inlineStr">
        <is>
          <t>三套系統</t>
        </is>
      </c>
      <c r="D103" s="24" t="inlineStr">
        <is>
          <t>停掉其中一套</t>
        </is>
      </c>
      <c r="E103" s="25" t="n">
        <v>46359</v>
      </c>
      <c r="F103" s="25" t="n">
        <v>46360</v>
      </c>
      <c r="G103" s="24" t="inlineStr">
        <is>
          <t>另外兩套照常使用</t>
        </is>
      </c>
      <c r="H103" s="24" t="inlineStr">
        <is>
          <t>R-34</t>
        </is>
      </c>
      <c r="I103" s="24" t="inlineStr">
        <is>
          <t>Jacky</t>
        </is>
      </c>
      <c r="J103" s="23" t="inlineStr">
        <is>
          <t>未開始</t>
        </is>
      </c>
      <c r="K103" s="25" t="n"/>
      <c r="L103" s="23">
        <f>IF(J103="已完成",IF(K103="","",MAX(0,K103-F103)),IF(TODAY()&gt;F103,TODAY()-F103,""))</f>
        <v/>
      </c>
      <c r="M103" s="24" t="inlineStr"/>
    </row>
    <row r="104" ht="19" customHeight="1">
      <c r="A104" s="23" t="n">
        <v>98</v>
      </c>
      <c r="B104" s="26" t="inlineStr">
        <is>
          <t>測試</t>
        </is>
      </c>
      <c r="C104" s="24" t="inlineStr">
        <is>
          <t>三套系統</t>
        </is>
      </c>
      <c r="D104" s="24" t="inlineStr">
        <is>
          <t>每套從備份還原一次</t>
        </is>
      </c>
      <c r="E104" s="25" t="n">
        <v>46359</v>
      </c>
      <c r="F104" s="25" t="n">
        <v>46360</v>
      </c>
      <c r="G104" s="24" t="inlineStr">
        <is>
          <t>還原後資料完整</t>
        </is>
      </c>
      <c r="H104" s="24" t="inlineStr">
        <is>
          <t>P2-07</t>
        </is>
      </c>
      <c r="I104" s="24" t="inlineStr">
        <is>
          <t>Jacky</t>
        </is>
      </c>
      <c r="J104" s="23" t="inlineStr">
        <is>
          <t>未開始</t>
        </is>
      </c>
      <c r="K104" s="25" t="n"/>
      <c r="L104" s="23">
        <f>IF(J104="已完成",IF(K104="","",MAX(0,K104-F104)),IF(TODAY()&gt;F104,TODAY()-F104,""))</f>
        <v/>
      </c>
      <c r="M104" s="24" t="inlineStr"/>
    </row>
    <row r="105" ht="34" customHeight="1">
      <c r="A105" s="20" t="n">
        <v>99</v>
      </c>
      <c r="B105" s="20" t="inlineStr">
        <is>
          <t>開發</t>
        </is>
      </c>
      <c r="C105" s="21" t="inlineStr">
        <is>
          <t>系統測試</t>
        </is>
      </c>
      <c r="D105" s="21" t="inlineStr">
        <is>
          <t>壓測腳本：模擬設備同時語音對話</t>
        </is>
      </c>
      <c r="E105" s="22" t="n">
        <v>46349</v>
      </c>
      <c r="F105" s="22" t="n">
        <v>46353</v>
      </c>
      <c r="G105" s="21" t="inlineStr">
        <is>
          <t>可以設定同時對話數，輸出首字延遲和錯誤率</t>
        </is>
      </c>
      <c r="H105" s="21" t="inlineStr">
        <is>
          <t>P2-08</t>
        </is>
      </c>
      <c r="I105" s="21" t="inlineStr">
        <is>
          <t>Jacky</t>
        </is>
      </c>
      <c r="J105" s="20" t="inlineStr">
        <is>
          <t>未開始</t>
        </is>
      </c>
      <c r="K105" s="22" t="n"/>
      <c r="L105" s="20">
        <f>IF(J105="已完成",IF(K105="","",MAX(0,K105-F105)),IF(TODAY()&gt;F105,TODAY()-F105,""))</f>
        <v/>
      </c>
      <c r="M105" s="21" t="inlineStr"/>
    </row>
    <row r="106" ht="34" customHeight="1">
      <c r="A106" s="23" t="n">
        <v>100</v>
      </c>
      <c r="B106" s="26" t="inlineStr">
        <is>
          <t>測試</t>
        </is>
      </c>
      <c r="C106" s="24" t="inlineStr">
        <is>
          <t>系統測試</t>
        </is>
      </c>
      <c r="D106" s="24" t="inlineStr">
        <is>
          <t>按 3,000 台規模壓測：150–300 個同時對話</t>
        </is>
      </c>
      <c r="E106" s="25" t="n">
        <v>46356</v>
      </c>
      <c r="F106" s="25" t="n">
        <v>46359</v>
      </c>
      <c r="G106" s="24" t="inlineStr">
        <is>
          <t>首字延遲和錯誤率在目標內；伺服器不崩潰</t>
        </is>
      </c>
      <c r="H106" s="24" t="inlineStr">
        <is>
          <t>P2-08</t>
        </is>
      </c>
      <c r="I106" s="24" t="inlineStr">
        <is>
          <t>Jacky</t>
        </is>
      </c>
      <c r="J106" s="23" t="inlineStr">
        <is>
          <t>未開始</t>
        </is>
      </c>
      <c r="K106" s="25" t="n"/>
      <c r="L106" s="23">
        <f>IF(J106="已完成",IF(K106="","",MAX(0,K106-F106)),IF(TODAY()&gt;F106,TODAY()-F106,""))</f>
        <v/>
      </c>
      <c r="M106" s="24" t="inlineStr"/>
    </row>
    <row r="107" ht="34" customHeight="1">
      <c r="A107" s="23" t="n">
        <v>101</v>
      </c>
      <c r="B107" s="26" t="inlineStr">
        <is>
          <t>測試</t>
        </is>
      </c>
      <c r="C107" s="24" t="inlineStr">
        <is>
          <t>系統測試</t>
        </is>
      </c>
      <c r="D107" s="24" t="inlineStr">
        <is>
          <t>安全測試：三套系統各重跑一次 P0 檢查</t>
        </is>
      </c>
      <c r="E107" s="25" t="n">
        <v>46356</v>
      </c>
      <c r="F107" s="25" t="n">
        <v>46360</v>
      </c>
      <c r="G107" s="24" t="inlineStr">
        <is>
          <t>未登入讀不到資料；未認領設備被拒；管理員權限正確</t>
        </is>
      </c>
      <c r="H107" s="24" t="inlineStr">
        <is>
          <t>P0</t>
        </is>
      </c>
      <c r="I107" s="24" t="inlineStr">
        <is>
          <t>Jacky</t>
        </is>
      </c>
      <c r="J107" s="23" t="inlineStr">
        <is>
          <t>未開始</t>
        </is>
      </c>
      <c r="K107" s="25" t="n"/>
      <c r="L107" s="23">
        <f>IF(J107="已完成",IF(K107="","",MAX(0,K107-F107)),IF(TODAY()&gt;F107,TODAY()-F107,""))</f>
        <v/>
      </c>
      <c r="M107" s="24" t="inlineStr"/>
    </row>
    <row r="108" ht="34" customHeight="1">
      <c r="A108" s="23" t="n">
        <v>102</v>
      </c>
      <c r="B108" s="26" t="inlineStr">
        <is>
          <t>測試</t>
        </is>
      </c>
      <c r="C108" s="24" t="inlineStr">
        <is>
          <t>系統測試</t>
        </is>
      </c>
      <c r="D108" s="24" t="inlineStr">
        <is>
          <t>手機端全流程回歸</t>
        </is>
      </c>
      <c r="E108" s="25" t="n">
        <v>46356</v>
      </c>
      <c r="F108" s="25" t="n">
        <v>46360</v>
      </c>
      <c r="G108" s="24" t="inlineStr">
        <is>
          <t>iOS、Android 各兩款全部通過；嚴重問題 0 個</t>
        </is>
      </c>
      <c r="H108" s="24" t="inlineStr">
        <is>
          <t>R-28</t>
        </is>
      </c>
      <c r="I108" s="24" t="inlineStr">
        <is>
          <t>待定</t>
        </is>
      </c>
      <c r="J108" s="23" t="inlineStr">
        <is>
          <t>未開始</t>
        </is>
      </c>
      <c r="K108" s="25" t="n"/>
      <c r="L108" s="23">
        <f>IF(J108="已完成",IF(K108="","",MAX(0,K108-F108)),IF(TODAY()&gt;F108,TODAY()-F108,""))</f>
        <v/>
      </c>
      <c r="M108" s="24" t="inlineStr">
        <is>
          <t>Jacky 修問題</t>
        </is>
      </c>
    </row>
    <row r="109" ht="34" customHeight="1">
      <c r="A109" s="20" t="n">
        <v>103</v>
      </c>
      <c r="B109" s="20" t="inlineStr">
        <is>
          <t>開發</t>
        </is>
      </c>
      <c r="C109" s="21" t="inlineStr">
        <is>
          <t>首次 OTA 版本</t>
        </is>
      </c>
      <c r="D109" s="21" t="inlineStr">
        <is>
          <t>首次開機 OTA 版本定版（出廠後的修正和新功能）</t>
        </is>
      </c>
      <c r="E109" s="22" t="n">
        <v>46363</v>
      </c>
      <c r="F109" s="22" t="n">
        <v>46367</v>
      </c>
      <c r="G109" s="21" t="inlineStr">
        <is>
          <t>版本號記錄好；發佈到三套系統</t>
        </is>
      </c>
      <c r="H109" s="21" t="inlineStr">
        <is>
          <t>P0-13</t>
        </is>
      </c>
      <c r="I109" s="21" t="inlineStr">
        <is>
          <t>Jacky</t>
        </is>
      </c>
      <c r="J109" s="20" t="inlineStr">
        <is>
          <t>未開始</t>
        </is>
      </c>
      <c r="K109" s="22" t="n"/>
      <c r="L109" s="20">
        <f>IF(J109="已完成",IF(K109="","",MAX(0,K109-F109)),IF(TODAY()&gt;F109,TODAY()-F109,""))</f>
        <v/>
      </c>
      <c r="M109" s="21" t="inlineStr"/>
    </row>
    <row r="110" ht="19" customHeight="1">
      <c r="A110" s="23" t="n">
        <v>104</v>
      </c>
      <c r="B110" s="26" t="inlineStr">
        <is>
          <t>測試</t>
        </is>
      </c>
      <c r="C110" s="24" t="inlineStr">
        <is>
          <t>首次 OTA 版本</t>
        </is>
      </c>
      <c r="D110" s="24" t="inlineStr">
        <is>
          <t>出廠韌體升級到這個版本，再回滾</t>
        </is>
      </c>
      <c r="E110" s="25" t="n">
        <v>46366</v>
      </c>
      <c r="F110" s="25" t="n">
        <v>46367</v>
      </c>
      <c r="G110" s="24" t="inlineStr">
        <is>
          <t>升級和回滾都成功</t>
        </is>
      </c>
      <c r="H110" s="24" t="inlineStr">
        <is>
          <t>P0-13</t>
        </is>
      </c>
      <c r="I110" s="24" t="inlineStr">
        <is>
          <t>Jacky</t>
        </is>
      </c>
      <c r="J110" s="23" t="inlineStr">
        <is>
          <t>未開始</t>
        </is>
      </c>
      <c r="K110" s="25" t="n"/>
      <c r="L110" s="23">
        <f>IF(J110="已完成",IF(K110="","",MAX(0,K110-F110)),IF(TODAY()&gt;F110,TODAY()-F110,""))</f>
        <v/>
      </c>
      <c r="M110" s="24" t="inlineStr"/>
    </row>
    <row r="111" ht="34" customHeight="1">
      <c r="A111" s="20" t="n">
        <v>105</v>
      </c>
      <c r="B111" s="20" t="inlineStr">
        <is>
          <t>開發</t>
        </is>
      </c>
      <c r="C111" s="21" t="inlineStr">
        <is>
          <t>UAT</t>
        </is>
      </c>
      <c r="D111" s="21" t="inlineStr">
        <is>
          <t>UAT 清單：客戶要逐項測的內容</t>
        </is>
      </c>
      <c r="E111" s="22" t="n">
        <v>46356</v>
      </c>
      <c r="F111" s="22" t="n">
        <v>46360</v>
      </c>
      <c r="G111" s="21" t="inlineStr">
        <is>
          <t>對接人和客戶確認清單</t>
        </is>
      </c>
      <c r="H111" s="21" t="inlineStr">
        <is>
          <t>R-06</t>
        </is>
      </c>
      <c r="I111" s="21" t="inlineStr">
        <is>
          <t>Jacky、對接人</t>
        </is>
      </c>
      <c r="J111" s="20" t="inlineStr">
        <is>
          <t>未開始</t>
        </is>
      </c>
      <c r="K111" s="22" t="n"/>
      <c r="L111" s="20">
        <f>IF(J111="已完成",IF(K111="","",MAX(0,K111-F111)),IF(TODAY()&gt;F111,TODAY()-F111,""))</f>
        <v/>
      </c>
      <c r="M111" s="21" t="inlineStr"/>
    </row>
    <row r="112" ht="34" customHeight="1">
      <c r="A112" s="23" t="n">
        <v>106</v>
      </c>
      <c r="B112" s="26" t="inlineStr">
        <is>
          <t>測試</t>
        </is>
      </c>
      <c r="C112" s="24" t="inlineStr">
        <is>
          <t>UAT</t>
        </is>
      </c>
      <c r="D112" s="24" t="inlineStr">
        <is>
          <t>支援客戶 UAT：記錄問題、修復</t>
        </is>
      </c>
      <c r="E112" s="25" t="n">
        <v>46363</v>
      </c>
      <c r="F112" s="25" t="n">
        <v>46374</v>
      </c>
      <c r="G112" s="24" t="inlineStr">
        <is>
          <t>客戶書面簽收；嚴重問題 0 個，其他問題都有處理日期</t>
        </is>
      </c>
      <c r="H112" s="24" t="inlineStr">
        <is>
          <t>R-06</t>
        </is>
      </c>
      <c r="I112" s="24" t="inlineStr">
        <is>
          <t>Jacky、待定</t>
        </is>
      </c>
      <c r="J112" s="23" t="inlineStr">
        <is>
          <t>未開始</t>
        </is>
      </c>
      <c r="K112" s="25" t="n"/>
      <c r="L112" s="23">
        <f>IF(J112="已完成",IF(K112="","",MAX(0,K112-F112)),IF(TODAY()&gt;F112,TODAY()-F112,""))</f>
        <v/>
      </c>
      <c r="M112" s="24" t="inlineStr"/>
    </row>
    <row r="113" ht="34" customHeight="1">
      <c r="A113" s="23" t="n">
        <v>107</v>
      </c>
      <c r="B113" s="26" t="inlineStr">
        <is>
          <t>測試</t>
        </is>
      </c>
      <c r="C113" s="24" t="inlineStr">
        <is>
          <t>UAT</t>
        </is>
      </c>
      <c r="D113" s="24" t="inlineStr">
        <is>
          <t>3 位非團隊成員從開箱到第一次對話</t>
        </is>
      </c>
      <c r="E113" s="25" t="n">
        <v>46370</v>
      </c>
      <c r="F113" s="25" t="n">
        <v>46374</v>
      </c>
      <c r="G113" s="24" t="inlineStr">
        <is>
          <t>3 人都在 10 分鐘內完成</t>
        </is>
      </c>
      <c r="H113" s="24" t="inlineStr">
        <is>
          <t>R-06</t>
        </is>
      </c>
      <c r="I113" s="24" t="inlineStr">
        <is>
          <t>對接人</t>
        </is>
      </c>
      <c r="J113" s="23" t="inlineStr">
        <is>
          <t>未開始</t>
        </is>
      </c>
      <c r="K113" s="25" t="n"/>
      <c r="L113" s="23">
        <f>IF(J113="已完成",IF(K113="","",MAX(0,K113-F113)),IF(TODAY()&gt;F113,TODAY()-F113,""))</f>
        <v/>
      </c>
      <c r="M113" s="24" t="inlineStr">
        <is>
          <t>Jacky 在旁記錄卡住的地方</t>
        </is>
      </c>
    </row>
    <row r="114" ht="19" customHeight="1">
      <c r="A114" s="20" t="n">
        <v>108</v>
      </c>
      <c r="B114" s="27" t="inlineStr">
        <is>
          <t>測試</t>
        </is>
      </c>
      <c r="C114" s="21" t="inlineStr">
        <is>
          <t>上線前確認</t>
        </is>
      </c>
      <c r="D114" s="21" t="inlineStr">
        <is>
          <t>UAT 遺留問題逐項複測</t>
        </is>
      </c>
      <c r="E114" s="22" t="n">
        <v>46391</v>
      </c>
      <c r="F114" s="22" t="n">
        <v>46395</v>
      </c>
      <c r="G114" s="21" t="inlineStr">
        <is>
          <t>全部處理完</t>
        </is>
      </c>
      <c r="H114" s="21" t="inlineStr"/>
      <c r="I114" s="21" t="inlineStr">
        <is>
          <t>Jacky</t>
        </is>
      </c>
      <c r="J114" s="20" t="inlineStr">
        <is>
          <t>未開始</t>
        </is>
      </c>
      <c r="K114" s="22" t="n"/>
      <c r="L114" s="20">
        <f>IF(J114="已完成",IF(K114="","",MAX(0,K114-F114)),IF(TODAY()&gt;F114,TODAY()-F114,""))</f>
        <v/>
      </c>
      <c r="M114" s="21" t="inlineStr"/>
    </row>
    <row r="115" ht="19" customHeight="1">
      <c r="A115" s="23" t="n">
        <v>109</v>
      </c>
      <c r="B115" s="23" t="inlineStr">
        <is>
          <t>開發</t>
        </is>
      </c>
      <c r="C115" s="24" t="inlineStr">
        <is>
          <t>上線前確認</t>
        </is>
      </c>
      <c r="D115" s="24" t="inlineStr">
        <is>
          <t>正式環境凍結，只修 bug</t>
        </is>
      </c>
      <c r="E115" s="25" t="n">
        <v>46395</v>
      </c>
      <c r="F115" s="25" t="n">
        <v>46395</v>
      </c>
      <c r="G115" s="24" t="inlineStr">
        <is>
          <t>凍結版本有標籤</t>
        </is>
      </c>
      <c r="H115" s="24" t="inlineStr"/>
      <c r="I115" s="24" t="inlineStr">
        <is>
          <t>Jacky</t>
        </is>
      </c>
      <c r="J115" s="23" t="inlineStr">
        <is>
          <t>未開始</t>
        </is>
      </c>
      <c r="K115" s="25" t="n"/>
      <c r="L115" s="23">
        <f>IF(J115="已完成",IF(K115="","",MAX(0,K115-F115)),IF(TODAY()&gt;F115,TODAY()-F115,""))</f>
        <v/>
      </c>
      <c r="M115" s="24" t="inlineStr"/>
    </row>
    <row r="116" ht="19" customHeight="1">
      <c r="A116" s="23" t="n">
        <v>110</v>
      </c>
      <c r="B116" s="26" t="inlineStr">
        <is>
          <t>測試</t>
        </is>
      </c>
      <c r="C116" s="24" t="inlineStr">
        <is>
          <t>上線前確認</t>
        </is>
      </c>
      <c r="D116" s="24" t="inlineStr">
        <is>
          <t>每套系統觸發一次告警</t>
        </is>
      </c>
      <c r="E116" s="25" t="n">
        <v>46391</v>
      </c>
      <c r="F116" s="25" t="n">
        <v>46395</v>
      </c>
      <c r="G116" s="24" t="inlineStr">
        <is>
          <t>告警送到並寫明品牌</t>
        </is>
      </c>
      <c r="H116" s="24" t="inlineStr">
        <is>
          <t>P2-06</t>
        </is>
      </c>
      <c r="I116" s="24" t="inlineStr">
        <is>
          <t>Jacky</t>
        </is>
      </c>
      <c r="J116" s="23" t="inlineStr">
        <is>
          <t>未開始</t>
        </is>
      </c>
      <c r="K116" s="25" t="n"/>
      <c r="L116" s="23">
        <f>IF(J116="已完成",IF(K116="","",MAX(0,K116-F116)),IF(TODAY()&gt;F116,TODAY()-F116,""))</f>
        <v/>
      </c>
      <c r="M116" s="24" t="inlineStr"/>
    </row>
    <row r="117" ht="34" customHeight="1">
      <c r="A117" s="23" t="n">
        <v>111</v>
      </c>
      <c r="B117" s="26" t="inlineStr">
        <is>
          <t>測試</t>
        </is>
      </c>
      <c r="C117" s="24" t="inlineStr">
        <is>
          <t>上線前確認</t>
        </is>
      </c>
      <c r="D117" s="24" t="inlineStr">
        <is>
          <t>對照出貨 MAC 清單，檢查設備登記</t>
        </is>
      </c>
      <c r="E117" s="25" t="n">
        <v>46398</v>
      </c>
      <c r="F117" s="25" t="n">
        <v>46402</v>
      </c>
      <c r="G117" s="24" t="inlineStr">
        <is>
          <t>每台都已在對應品牌的系統登記</t>
        </is>
      </c>
      <c r="H117" s="24" t="inlineStr">
        <is>
          <t>R-10、R-15</t>
        </is>
      </c>
      <c r="I117" s="24" t="inlineStr">
        <is>
          <t>Jacky</t>
        </is>
      </c>
      <c r="J117" s="23" t="inlineStr">
        <is>
          <t>未開始</t>
        </is>
      </c>
      <c r="K117" s="25" t="n"/>
      <c r="L117" s="23">
        <f>IF(J117="已完成",IF(K117="","",MAX(0,K117-F117)),IF(TODAY()&gt;F117,TODAY()-F117,""))</f>
        <v/>
      </c>
      <c r="M117" s="24" t="inlineStr"/>
    </row>
    <row r="119">
      <c r="A119" s="12" t="inlineStr">
        <is>
          <t>說明</t>
        </is>
      </c>
    </row>
    <row r="120" ht="18" customHeight="1">
      <c r="A120" s="16" t="inlineStr">
        <is>
          <t>類型：開發 = 寫程式或做出東西；測試（藍字）= 按「怎樣算完成」實際測過。每個開發工作線最後都有測試項目，測試通過才算這條線完成。</t>
        </is>
      </c>
    </row>
    <row r="121" ht="18" customHeight="1">
      <c r="A121" s="16" t="inlineStr">
        <is>
          <t>黃色底 = 本週到期但未完成。「逾期（天）」由公式計算：未完成且已過完成日，顯示逾期天數；已完成則顯示比計劃晚了幾天。</t>
        </is>
      </c>
    </row>
    <row r="122" ht="18" customHeight="1">
      <c r="A122" s="16" t="inlineStr">
        <is>
          <t>可以用標題列的篩選按鈕只看「開發」或「測試」，或按「完成」排序看到期順序。</t>
        </is>
      </c>
    </row>
  </sheetData>
  <autoFilter ref="A6:M117"/>
  <mergeCells count="8">
    <mergeCell ref="K4:M4"/>
    <mergeCell ref="A4:D4"/>
    <mergeCell ref="A120:M120"/>
    <mergeCell ref="H4:J4"/>
    <mergeCell ref="A122:M122"/>
    <mergeCell ref="E4:G4"/>
    <mergeCell ref="A2:M2"/>
    <mergeCell ref="A121:M121"/>
  </mergeCells>
  <conditionalFormatting sqref="A7:M117">
    <cfRule type="expression" priority="1" dxfId="6">
      <formula>AND($J7&lt;&gt;"已完成",$F7&gt;=TODAY()-WEEKDAY(TODAY(),3),$F7&lt;=TODAY()-WEEKDAY(TODAY(),3)+6)</formula>
    </cfRule>
  </conditionalFormatting>
  <conditionalFormatting sqref="J7:J117">
    <cfRule type="cellIs" priority="2" operator="equal" dxfId="7">
      <formula>"已完成"</formula>
    </cfRule>
    <cfRule type="cellIs" priority="3" operator="equal" dxfId="8">
      <formula>"進行中"</formula>
    </cfRule>
    <cfRule type="cellIs" priority="4" operator="equal" dxfId="9">
      <formula>"有風險"</formula>
    </cfRule>
    <cfRule type="cellIs" priority="5" operator="equal" dxfId="10">
      <formula>"延誤"</formula>
    </cfRule>
  </conditionalFormatting>
  <conditionalFormatting sqref="L7:L117">
    <cfRule type="cellIs" priority="6" operator="greaterThan" dxfId="5">
      <formula>0</formula>
    </cfRule>
  </conditionalFormatting>
  <dataValidations count="2">
    <dataValidation sqref="J7:J117" showDropDown="0" showInputMessage="0" showErrorMessage="0" allowBlank="0" error="請從清單選擇：未開始、進行中、已完成、有風險、延誤" type="list">
      <formula1>"未開始,進行中,已完成,有風險,延誤"</formula1>
    </dataValidation>
    <dataValidation sqref="K7:K117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6" customWidth="1" min="3" max="3"/>
    <col width="16" customWidth="1" min="4" max="4"/>
    <col width="12" customWidth="1" min="5" max="5"/>
  </cols>
  <sheetData>
    <row r="1">
      <c r="A1" s="6" t="inlineStr">
        <is>
          <t>日期</t>
        </is>
      </c>
      <c r="B1" s="6" t="inlineStr">
        <is>
          <t>改了什麼</t>
        </is>
      </c>
      <c r="C1" s="6" t="inlineStr">
        <is>
          <t>原因</t>
        </is>
      </c>
      <c r="D1" s="6" t="inlineStr">
        <is>
          <t>影響 1/15 出廠？</t>
        </is>
      </c>
      <c r="E1" s="6" t="inlineStr">
        <is>
          <t>誰決定</t>
        </is>
      </c>
    </row>
    <row r="2">
      <c r="A2" s="28" t="n">
        <v>46307</v>
      </c>
      <c r="B2" s="10" t="inlineStr">
        <is>
          <t>建立時間表（按路線圖草案 v0.4）</t>
        </is>
      </c>
      <c r="C2" s="10" t="inlineStr">
        <is>
          <t>—</t>
        </is>
      </c>
      <c r="D2" s="10" t="inlineStr">
        <is>
          <t>否</t>
        </is>
      </c>
      <c r="E2" s="10" t="inlineStr">
        <is>
          <t>—</t>
        </is>
      </c>
    </row>
    <row r="3">
      <c r="A3" s="28" t="n">
        <v>46308</v>
      </c>
      <c r="B3" s="10" t="inlineStr">
        <is>
          <t>加入「Jacky 開發與測試」工作表：58 個開發項目、46 個測試項目</t>
        </is>
      </c>
      <c r="C3" s="10" t="inlineStr">
        <is>
          <t>把 Jacky 的工作拆細，方便每週跟進</t>
        </is>
      </c>
      <c r="D3" s="10" t="inlineStr">
        <is>
          <t>否</t>
        </is>
      </c>
      <c r="E3" s="10" t="inlineStr">
        <is>
          <t>Jacky</t>
        </is>
      </c>
    </row>
    <row r="4">
      <c r="A4" s="28" t="n">
        <v>46308</v>
      </c>
      <c r="B4" s="10" t="inlineStr">
        <is>
          <t>「Jacky 開發與測試」加入網頁 Wi-Fi 管理 7 項（R-37），W4 11/2–11/6</t>
        </is>
      </c>
      <c r="C4" s="10" t="inlineStr">
        <is>
          <t>玩具連上 Wi-Fi 後沒有入口再加第二個；用戶要在網頁管理</t>
        </is>
      </c>
      <c r="D4" s="10" t="inlineStr">
        <is>
          <t>否</t>
        </is>
      </c>
      <c r="E4" s="10" t="inlineStr">
        <is>
          <t>Jacky</t>
        </is>
      </c>
    </row>
    <row r="5">
      <c r="A5" s="28" t="n"/>
      <c r="B5" s="10" t="n"/>
      <c r="C5" s="10" t="n"/>
      <c r="D5" s="10" t="n"/>
      <c r="E5" s="10" t="n"/>
    </row>
    <row r="6">
      <c r="A6" s="28" t="n"/>
      <c r="B6" s="10" t="n"/>
      <c r="C6" s="10" t="n"/>
      <c r="D6" s="10" t="n"/>
      <c r="E6" s="10" t="n"/>
    </row>
    <row r="7">
      <c r="A7" s="28" t="n"/>
      <c r="B7" s="10" t="n"/>
      <c r="C7" s="10" t="n"/>
      <c r="D7" s="10" t="n"/>
      <c r="E7" s="10" t="n"/>
    </row>
    <row r="8">
      <c r="A8" s="28" t="n"/>
      <c r="B8" s="10" t="n"/>
      <c r="C8" s="10" t="n"/>
      <c r="D8" s="10" t="n"/>
      <c r="E8" s="10" t="n"/>
    </row>
    <row r="9">
      <c r="A9" s="28" t="n"/>
      <c r="B9" s="10" t="n"/>
      <c r="C9" s="10" t="n"/>
      <c r="D9" s="10" t="n"/>
      <c r="E9" s="10" t="n"/>
    </row>
    <row r="10">
      <c r="A10" s="28" t="n"/>
      <c r="B10" s="10" t="n"/>
      <c r="C10" s="10" t="n"/>
      <c r="D10" s="10" t="n"/>
      <c r="E10" s="10" t="n"/>
    </row>
    <row r="11">
      <c r="A11" s="28" t="n"/>
      <c r="B11" s="10" t="n"/>
      <c r="C11" s="10" t="n"/>
      <c r="D11" s="10" t="n"/>
      <c r="E11" s="10" t="n"/>
    </row>
    <row r="12">
      <c r="A12" s="28" t="n"/>
      <c r="B12" s="10" t="n"/>
      <c r="C12" s="10" t="n"/>
      <c r="D12" s="10" t="n"/>
      <c r="E12" s="10" t="n"/>
    </row>
    <row r="13">
      <c r="A13" s="28" t="n"/>
      <c r="B13" s="10" t="n"/>
      <c r="C13" s="10" t="n"/>
      <c r="D13" s="10" t="n"/>
      <c r="E13" s="10" t="n"/>
    </row>
    <row r="14">
      <c r="A14" s="28" t="n"/>
      <c r="B14" s="10" t="n"/>
      <c r="C14" s="10" t="n"/>
      <c r="D14" s="10" t="n"/>
      <c r="E14" s="10" t="n"/>
    </row>
    <row r="15">
      <c r="A15" s="28" t="n"/>
      <c r="B15" s="10" t="n"/>
      <c r="C15" s="10" t="n"/>
      <c r="D15" s="10" t="n"/>
      <c r="E15" s="10" t="n"/>
    </row>
    <row r="16">
      <c r="A16" s="28" t="n"/>
      <c r="B16" s="10" t="n"/>
      <c r="C16" s="10" t="n"/>
      <c r="D16" s="10" t="n"/>
      <c r="E16" s="10" t="n"/>
    </row>
    <row r="17">
      <c r="A17" s="28" t="n"/>
      <c r="B17" s="10" t="n"/>
      <c r="C17" s="10" t="n"/>
      <c r="D17" s="10" t="n"/>
      <c r="E17" s="10" t="n"/>
    </row>
    <row r="18">
      <c r="A18" s="28" t="n"/>
      <c r="B18" s="10" t="n"/>
      <c r="C18" s="10" t="n"/>
      <c r="D18" s="10" t="n"/>
      <c r="E18" s="10" t="n"/>
    </row>
    <row r="19">
      <c r="A19" s="28" t="n"/>
      <c r="B19" s="10" t="n"/>
      <c r="C19" s="10" t="n"/>
      <c r="D19" s="10" t="n"/>
      <c r="E19" s="10" t="n"/>
    </row>
    <row r="20">
      <c r="A20" s="28" t="n"/>
      <c r="B20" s="10" t="n"/>
      <c r="C20" s="10" t="n"/>
      <c r="D20" s="10" t="n"/>
      <c r="E20" s="10" t="n"/>
    </row>
    <row r="21">
      <c r="A21" s="28" t="n"/>
      <c r="B21" s="10" t="n"/>
      <c r="C21" s="10" t="n"/>
      <c r="D21" s="10" t="n"/>
      <c r="E21" s="10" t="n"/>
    </row>
    <row r="22">
      <c r="A22" s="28" t="n"/>
      <c r="B22" s="10" t="n"/>
      <c r="C22" s="10" t="n"/>
      <c r="D22" s="10" t="n"/>
      <c r="E22" s="10" t="n"/>
    </row>
    <row r="23">
      <c r="A23" s="28" t="n"/>
      <c r="B23" s="10" t="n"/>
      <c r="C23" s="10" t="n"/>
      <c r="D23" s="10" t="n"/>
      <c r="E23" s="10" t="n"/>
    </row>
    <row r="24">
      <c r="A24" s="28" t="n"/>
      <c r="B24" s="10" t="n"/>
      <c r="C24" s="10" t="n"/>
      <c r="D24" s="10" t="n"/>
      <c r="E24" s="10" t="n"/>
    </row>
    <row r="25">
      <c r="A25" s="28" t="n"/>
      <c r="B25" s="10" t="n"/>
      <c r="C25" s="10" t="n"/>
      <c r="D25" s="10" t="n"/>
      <c r="E25" s="10" t="n"/>
    </row>
    <row r="26">
      <c r="A26" s="28" t="n"/>
      <c r="B26" s="10" t="n"/>
      <c r="C26" s="10" t="n"/>
      <c r="D26" s="10" t="n"/>
      <c r="E26" s="10" t="n"/>
    </row>
    <row r="27">
      <c r="A27" s="28" t="n"/>
      <c r="B27" s="10" t="n"/>
      <c r="C27" s="10" t="n"/>
      <c r="D27" s="10" t="n"/>
      <c r="E27" s="10" t="n"/>
    </row>
    <row r="28">
      <c r="A28" s="28" t="n"/>
      <c r="B28" s="10" t="n"/>
      <c r="C28" s="10" t="n"/>
      <c r="D28" s="10" t="n"/>
      <c r="E28" s="10" t="n"/>
    </row>
    <row r="29">
      <c r="A29" s="28" t="n"/>
      <c r="B29" s="10" t="n"/>
      <c r="C29" s="10" t="n"/>
      <c r="D29" s="10" t="n"/>
      <c r="E29" s="10" t="n"/>
    </row>
  </sheetData>
  <dataValidations count="1">
    <dataValidation sqref="D2:D29" showDropDown="0" showInputMessage="0" showErrorMessage="0" allowBlank="1" type="list">
      <formula1>"否,可能,是"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2026-10-12T07:06:12Z</dcterms:created>
  <dcterms:modified xmlns:dcterms="http://purl.org/dc/terms/" xmlns:xsi="http://www.w3.org/2001/XMLSchema-instance" xsi:type="dcterms:W3CDTF">2026-10-13T06:30:08Z</dcterms:modified>
</cp:coreProperties>
</file>