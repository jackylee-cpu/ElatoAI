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時間表" sheetId="1" state="visible" r:id="rId1"/>
    <sheet xmlns:r="http://schemas.openxmlformats.org/officeDocument/2006/relationships" name="變更記錄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/m/d"/>
    <numFmt numFmtId="166" formatCode="m/d"/>
  </numFmts>
  <fonts count="8">
    <font>
      <name val="Calibri"/>
      <family val="2"/>
      <color theme="1"/>
      <sz val="11"/>
      <scheme val="minor"/>
    </font>
    <font>
      <name val="Microsoft JhengHei"/>
      <b val="1"/>
      <color rgb="0017202B"/>
      <sz val="16"/>
    </font>
    <font>
      <name val="Microsoft JhengHei"/>
      <color rgb="005B6474"/>
      <sz val="10"/>
    </font>
    <font>
      <name val="Microsoft JhengHei"/>
      <b val="1"/>
      <color rgb="0017202B"/>
      <sz val="13"/>
    </font>
    <font>
      <name val="Microsoft JhengHei"/>
      <b val="1"/>
      <color rgb="00FFFFFF"/>
    </font>
    <font>
      <name val="Microsoft JhengHei"/>
      <b val="1"/>
      <sz val="10.5"/>
    </font>
    <font>
      <name val="Microsoft JhengHei"/>
      <sz val="10.5"/>
    </font>
    <font>
      <name val="Microsoft JhengHei"/>
      <b val="1"/>
      <color rgb="005B6474"/>
      <sz val="10"/>
    </font>
  </fonts>
  <fills count="3">
    <fill>
      <patternFill/>
    </fill>
    <fill>
      <patternFill patternType="gray125"/>
    </fill>
    <fill>
      <patternFill patternType="solid">
        <fgColor rgb="0017202B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166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165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F4C9"/>
        </patternFill>
      </fill>
    </dxf>
    <dxf>
      <font>
        <b val="1"/>
        <color rgb="000E7A71"/>
      </font>
      <fill>
        <patternFill patternType="solid">
          <fgColor rgb="00D9EFEB"/>
        </patternFill>
      </fill>
    </dxf>
    <dxf>
      <font>
        <b val="1"/>
        <color rgb="002A5FC4"/>
      </font>
      <fill>
        <patternFill patternType="solid">
          <fgColor rgb="00E0E8F8"/>
        </patternFill>
      </fill>
    </dxf>
    <dxf>
      <font>
        <b val="1"/>
        <color rgb="00B4650F"/>
      </font>
      <fill>
        <patternFill patternType="solid">
          <fgColor rgb="00F6E8D6"/>
        </patternFill>
      </fill>
    </dxf>
    <dxf>
      <font>
        <b val="1"/>
        <color rgb="00B8384F"/>
      </font>
      <fill>
        <patternFill patternType="solid">
          <fgColor rgb="00F8E0E5"/>
        </patternFill>
      </fill>
    </dxf>
    <dxf>
      <font>
        <b val="1"/>
        <color rgb="00B8384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30" customWidth="1" min="4" max="4"/>
    <col width="52" customWidth="1" min="5" max="5"/>
    <col width="9" customWidth="1" min="6" max="6"/>
    <col width="14" customWidth="1" min="7" max="7"/>
    <col width="10" customWidth="1" min="8" max="8"/>
    <col width="13" customWidth="1" min="9" max="9"/>
    <col width="10" customWidth="1" min="10" max="10"/>
    <col width="22" customWidth="1" min="11" max="11"/>
  </cols>
  <sheetData>
    <row r="1">
      <c r="A1" s="1" t="inlineStr">
        <is>
          <t>AI Buddy 項目時間表</t>
        </is>
      </c>
    </row>
    <row r="2">
      <c r="A2" s="2" t="inlineStr">
        <is>
          <t>每週一個里程碑，每週五更新「狀態」和「實際完成日期」。細項看 production-readiness.xlsx，每週計劃看 docs/roadmap.md。</t>
        </is>
      </c>
    </row>
    <row r="4" ht="26" customHeight="1">
      <c r="A4" s="3" t="inlineStr">
        <is>
          <t>目標出廠</t>
        </is>
      </c>
      <c r="B4" s="4" t="n">
        <v>46402</v>
      </c>
      <c r="C4" s="3" t="inlineStr">
        <is>
          <t>距出廠（天）</t>
        </is>
      </c>
      <c r="D4" s="5">
        <f>DATE(2027,1,15)-TODAY()</f>
        <v/>
      </c>
      <c r="E4" s="3" t="inlineStr">
        <is>
          <t>本週</t>
        </is>
      </c>
      <c r="F4" s="5">
        <f>IFERROR(LOOKUP(2,1/(($B$7:$B$21&lt;=TODAY())*($C$7:$C$21+2&gt;=TODAY())),$A$7:$A$21),"—")</f>
        <v/>
      </c>
      <c r="G4" s="3" t="inlineStr">
        <is>
          <t>已完成</t>
        </is>
      </c>
      <c r="H4" s="5">
        <f>COUNTIF($H$7:$H$21,"已完成")&amp;" / "&amp;ROWS($H$7:$H$21)</f>
        <v/>
      </c>
      <c r="I4" s="3" t="inlineStr">
        <is>
          <t>逾期未完成</t>
        </is>
      </c>
      <c r="J4" s="5">
        <f>COUNTIF($J$7:$J$21,"&gt;0")</f>
        <v/>
      </c>
    </row>
    <row r="6">
      <c r="A6" s="6" t="inlineStr">
        <is>
          <t>週次</t>
        </is>
      </c>
      <c r="B6" s="6" t="inlineStr">
        <is>
          <t>開始</t>
        </is>
      </c>
      <c r="C6" s="6" t="inlineStr">
        <is>
          <t>結束</t>
        </is>
      </c>
      <c r="D6" s="6" t="inlineStr">
        <is>
          <t>里程碑</t>
        </is>
      </c>
      <c r="E6" s="6" t="inlineStr">
        <is>
          <t>怎樣算完成</t>
        </is>
      </c>
      <c r="F6" s="6" t="inlineStr">
        <is>
          <t>線</t>
        </is>
      </c>
      <c r="G6" s="6" t="inlineStr">
        <is>
          <t>對應任務</t>
        </is>
      </c>
      <c r="H6" s="6" t="inlineStr">
        <is>
          <t>狀態</t>
        </is>
      </c>
      <c r="I6" s="6" t="inlineStr">
        <is>
          <t>實際完成日期</t>
        </is>
      </c>
      <c r="J6" s="6" t="inlineStr">
        <is>
          <t>逾期（天）</t>
        </is>
      </c>
      <c r="K6" s="6" t="inlineStr">
        <is>
          <t>備註</t>
        </is>
      </c>
    </row>
    <row r="7" ht="38" customHeight="1">
      <c r="A7" s="7" t="inlineStr">
        <is>
          <t>W1</t>
        </is>
      </c>
      <c r="B7" s="8" t="n">
        <v>46307</v>
      </c>
      <c r="C7" s="8" t="n">
        <v>46311</v>
      </c>
      <c r="D7" s="9" t="inlineStr">
        <is>
          <t>機芯規格交玩具廠；Spotpear 詢價發出</t>
        </is>
      </c>
      <c r="E7" s="10" t="inlineStr">
        <is>
          <t>工廠回覆四個造型的打樣排期；Spotpear 收到詢價和 50 片樣板訂單</t>
        </is>
      </c>
      <c r="F7" s="11" t="inlineStr">
        <is>
          <t>玩具線</t>
        </is>
      </c>
      <c r="G7" s="10" t="inlineStr">
        <is>
          <t>R-01</t>
        </is>
      </c>
      <c r="H7" s="11" t="inlineStr">
        <is>
          <t>進行中</t>
        </is>
      </c>
      <c r="I7" s="8" t="n"/>
      <c r="J7" s="11">
        <f>IF(H7="已完成",IF(I7="","",MAX(0,I7-C7)),IF(TODAY()&gt;C7,TODAY()-C7,""))</f>
        <v/>
      </c>
      <c r="K7" s="10" t="inlineStr"/>
    </row>
    <row r="8" ht="38" customHeight="1">
      <c r="A8" s="7" t="inlineStr">
        <is>
          <t>W2</t>
        </is>
      </c>
      <c r="B8" s="8" t="n">
        <v>46314</v>
      </c>
      <c r="C8" s="8" t="n">
        <v>46318</v>
      </c>
      <c r="D8" s="9" t="inlineStr">
        <is>
          <t>決定改不改板；機芯盒 3D 設計 v1</t>
        </is>
      </c>
      <c r="E8" s="10" t="inlineStr">
        <is>
          <t>放電測試有結論，決定是否改板；收到機芯盒 3D 圖和第一版初樣照片</t>
        </is>
      </c>
      <c r="F8" s="11" t="inlineStr">
        <is>
          <t>玩具線</t>
        </is>
      </c>
      <c r="G8" s="10" t="inlineStr">
        <is>
          <t>R-16、R-17</t>
        </is>
      </c>
      <c r="H8" s="11" t="inlineStr">
        <is>
          <t>未開始</t>
        </is>
      </c>
      <c r="I8" s="8" t="n"/>
      <c r="J8" s="11">
        <f>IF(H8="已完成",IF(I8="","",MAX(0,I8-C8)),IF(TODAY()&gt;C8,TODAY()-C8,""))</f>
        <v/>
      </c>
      <c r="K8" s="10" t="inlineStr"/>
    </row>
    <row r="9" ht="38" customHeight="1">
      <c r="A9" s="7" t="inlineStr">
        <is>
          <t>W3</t>
        </is>
      </c>
      <c r="B9" s="8" t="n">
        <v>46321</v>
      </c>
      <c r="C9" s="8" t="n">
        <v>46325</v>
      </c>
      <c r="D9" s="9" t="inlineStr">
        <is>
          <t>CP1 內部測試就緒；板子定案</t>
        </is>
      </c>
      <c r="E9" s="10" t="inlineStr">
        <is>
          <t>寫下 CP1 go／no-go；板子評分表完成；第一版樣品的修改意見交工廠</t>
        </is>
      </c>
      <c r="F9" s="11" t="inlineStr">
        <is>
          <t>兩條線</t>
        </is>
      </c>
      <c r="G9" s="10" t="inlineStr">
        <is>
          <t>R-13、R-01</t>
        </is>
      </c>
      <c r="H9" s="11" t="inlineStr">
        <is>
          <t>未開始</t>
        </is>
      </c>
      <c r="I9" s="8" t="n"/>
      <c r="J9" s="11">
        <f>IF(H9="已完成",IF(I9="","",MAX(0,I9-C9)),IF(TODAY()&gt;C9,TODAY()-C9,""))</f>
        <v/>
      </c>
      <c r="K9" s="10" t="inlineStr"/>
    </row>
    <row r="10" ht="38" customHeight="1">
      <c r="A10" s="7" t="inlineStr">
        <is>
          <t>W4</t>
        </is>
      </c>
      <c r="B10" s="8" t="n">
        <v>46328</v>
      </c>
      <c r="C10" s="8" t="n">
        <v>46332</v>
      </c>
      <c r="D10" s="9" t="inlineStr">
        <is>
          <t>量產板落單；內部測試開始</t>
        </is>
      </c>
      <c r="E10" s="10" t="inlineStr">
        <is>
          <t>Spotpear 確認 3,000 台加備品的訂單和交期；20 台內部測試機開始使用</t>
        </is>
      </c>
      <c r="F10" s="11" t="inlineStr">
        <is>
          <t>兩條線</t>
        </is>
      </c>
      <c r="G10" s="10" t="inlineStr">
        <is>
          <t>R-07</t>
        </is>
      </c>
      <c r="H10" s="11" t="inlineStr">
        <is>
          <t>未開始</t>
        </is>
      </c>
      <c r="I10" s="8" t="n"/>
      <c r="J10" s="11">
        <f>IF(H10="已完成",IF(I10="","",MAX(0,I10-C10)),IF(TODAY()&gt;C10,TODAY()-C10,""))</f>
        <v/>
      </c>
      <c r="K10" s="10" t="inlineStr"/>
    </row>
    <row r="11" ht="54" customHeight="1">
      <c r="A11" s="7" t="inlineStr">
        <is>
          <t>W5</t>
        </is>
      </c>
      <c r="B11" s="8" t="n">
        <v>46335</v>
      </c>
      <c r="C11" s="8" t="n">
        <v>46339</v>
      </c>
      <c r="D11" s="9" t="inlineStr">
        <is>
          <t>外觀簽樣；出廠韌體凍結項</t>
        </is>
      </c>
      <c r="E11" s="10" t="inlineStr">
        <is>
          <t>快活兩款、政協青年聯會版簽樣（AI Buddy 要出貨也要簽）；分區表、bootloader、加密流程凍結</t>
        </is>
      </c>
      <c r="F11" s="11" t="inlineStr">
        <is>
          <t>兩條線</t>
        </is>
      </c>
      <c r="G11" s="10" t="inlineStr">
        <is>
          <t>P2-12、P0-14</t>
        </is>
      </c>
      <c r="H11" s="11" t="inlineStr">
        <is>
          <t>未開始</t>
        </is>
      </c>
      <c r="I11" s="8" t="n"/>
      <c r="J11" s="11">
        <f>IF(H11="已完成",IF(I11="","",MAX(0,I11-C11)),IF(TODAY()&gt;C11,TODAY()-C11,""))</f>
        <v/>
      </c>
      <c r="K11" s="10" t="inlineStr"/>
    </row>
    <row r="12" ht="38" customHeight="1">
      <c r="A12" s="7" t="inlineStr">
        <is>
          <t>W6</t>
        </is>
      </c>
      <c r="B12" s="8" t="n">
        <v>46342</v>
      </c>
      <c r="C12" s="8" t="n">
        <v>46346</v>
      </c>
      <c r="D12" s="9" t="inlineStr">
        <is>
          <t>成品樣送檢；馬會定兩款數量</t>
        </is>
      </c>
      <c r="E12" s="10" t="inlineStr">
        <is>
          <t>EN71、電池、無線已送檢；馬會書面確認賽馬日版、新春版各多少</t>
        </is>
      </c>
      <c r="F12" s="11" t="inlineStr">
        <is>
          <t>兩條線</t>
        </is>
      </c>
      <c r="G12" s="10" t="inlineStr">
        <is>
          <t>P1-08、Q11</t>
        </is>
      </c>
      <c r="H12" s="11" t="inlineStr">
        <is>
          <t>未開始</t>
        </is>
      </c>
      <c r="I12" s="8" t="n"/>
      <c r="J12" s="11">
        <f>IF(H12="已完成",IF(I12="","",MAX(0,I12-C12)),IF(TODAY()&gt;C12,TODAY()-C12,""))</f>
        <v/>
      </c>
      <c r="K12" s="10" t="inlineStr"/>
    </row>
    <row r="13" ht="54" customHeight="1">
      <c r="A13" s="7" t="inlineStr">
        <is>
          <t>W7</t>
        </is>
      </c>
      <c r="B13" s="8" t="n">
        <v>46349</v>
      </c>
      <c r="C13" s="8" t="n">
        <v>46353</v>
      </c>
      <c r="D13" s="9" t="inlineStr">
        <is>
          <t>CP2；PP 樣簽樣、下大貨單</t>
        </is>
      </c>
      <c r="E13" s="10" t="inlineStr">
        <is>
          <t>寫下 CP2 決定（品牌 C 數量、是否延期）；PP 樣簽字；大貨訂單發出；共用韌體交 Spotpear</t>
        </is>
      </c>
      <c r="F13" s="11" t="inlineStr">
        <is>
          <t>兩條線</t>
        </is>
      </c>
      <c r="G13" s="10" t="inlineStr">
        <is>
          <t>R-08、R-09</t>
        </is>
      </c>
      <c r="H13" s="11" t="inlineStr">
        <is>
          <t>未開始</t>
        </is>
      </c>
      <c r="I13" s="8" t="n"/>
      <c r="J13" s="11">
        <f>IF(H13="已完成",IF(I13="","",MAX(0,I13-C13)),IF(TODAY()&gt;C13,TODAY()-C13,""))</f>
        <v/>
      </c>
      <c r="K13" s="10" t="inlineStr"/>
    </row>
    <row r="14" ht="38" customHeight="1">
      <c r="A14" s="7" t="inlineStr">
        <is>
          <t>W8</t>
        </is>
      </c>
      <c r="B14" s="8" t="n">
        <v>46356</v>
      </c>
      <c r="C14" s="8" t="n">
        <v>46360</v>
      </c>
      <c r="D14" s="9" t="inlineStr">
        <is>
          <t>量產板和物料到廠；三個 App 送審</t>
        </is>
      </c>
      <c r="E14" s="10" t="inlineStr">
        <is>
          <t>量產板、物料、工位電腦和作業指導書到廠；三個 App 已提交 Apple 和 Google</t>
        </is>
      </c>
      <c r="F14" s="11" t="inlineStr">
        <is>
          <t>兩條線</t>
        </is>
      </c>
      <c r="G14" s="10" t="inlineStr">
        <is>
          <t>R-10</t>
        </is>
      </c>
      <c r="H14" s="11" t="inlineStr">
        <is>
          <t>未開始</t>
        </is>
      </c>
      <c r="I14" s="8" t="n"/>
      <c r="J14" s="11">
        <f>IF(H14="已完成",IF(I14="","",MAX(0,I14-C14)),IF(TODAY()&gt;C14,TODAY()-C14,""))</f>
        <v/>
      </c>
      <c r="K14" s="10" t="inlineStr"/>
    </row>
    <row r="15" ht="38" customHeight="1">
      <c r="A15" s="7" t="inlineStr">
        <is>
          <t>W9</t>
        </is>
      </c>
      <c r="B15" s="8" t="n">
        <v>46363</v>
      </c>
      <c r="C15" s="8" t="n">
        <v>46367</v>
      </c>
      <c r="D15" s="9" t="inlineStr">
        <is>
          <t>試產通過；App 審核通過</t>
        </is>
      </c>
      <c r="E15" s="10" t="inlineStr">
        <is>
          <t>試產 50–100 隻全檢合格；三個 App 審核通過；首次 OTA 版本定版；認證報告齊全</t>
        </is>
      </c>
      <c r="F15" s="11" t="inlineStr">
        <is>
          <t>兩條線</t>
        </is>
      </c>
      <c r="G15" s="10" t="inlineStr">
        <is>
          <t>R-10、P1-08</t>
        </is>
      </c>
      <c r="H15" s="11" t="inlineStr">
        <is>
          <t>未開始</t>
        </is>
      </c>
      <c r="I15" s="8" t="n"/>
      <c r="J15" s="11">
        <f>IF(H15="已完成",IF(I15="","",MAX(0,I15-C15)),IF(TODAY()&gt;C15,TODAY()-C15,""))</f>
        <v/>
      </c>
      <c r="K15" s="10" t="inlineStr"/>
    </row>
    <row r="16" ht="38" customHeight="1">
      <c r="A16" s="7" t="inlineStr">
        <is>
          <t>W10</t>
        </is>
      </c>
      <c r="B16" s="8" t="n">
        <v>46370</v>
      </c>
      <c r="C16" s="8" t="n">
        <v>46374</v>
      </c>
      <c r="D16" s="9" t="inlineStr">
        <is>
          <t>大貨開始</t>
        </is>
      </c>
      <c r="E16" s="10" t="inlineStr">
        <is>
          <t>工廠每日回報產量和不良率；上線演練 3 人都在 10 分鐘內完成</t>
        </is>
      </c>
      <c r="F16" s="11" t="inlineStr">
        <is>
          <t>兩條線</t>
        </is>
      </c>
      <c r="G16" s="10" t="inlineStr">
        <is>
          <t>R-06</t>
        </is>
      </c>
      <c r="H16" s="11" t="inlineStr">
        <is>
          <t>未開始</t>
        </is>
      </c>
      <c r="I16" s="8" t="n"/>
      <c r="J16" s="11">
        <f>IF(H16="已完成",IF(I16="","",MAX(0,I16-C16)),IF(TODAY()&gt;C16,TODAY()-C16,""))</f>
        <v/>
      </c>
      <c r="K16" s="10" t="inlineStr"/>
    </row>
    <row r="17" ht="38" customHeight="1">
      <c r="A17" s="7" t="inlineStr">
        <is>
          <t>W11</t>
        </is>
      </c>
      <c r="B17" s="8" t="n">
        <v>46377</v>
      </c>
      <c r="C17" s="8" t="n">
        <v>46381</v>
      </c>
      <c r="D17" s="9" t="inlineStr">
        <is>
          <t>中期驗貨</t>
        </is>
      </c>
      <c r="E17" s="10" t="inlineStr">
        <is>
          <t>中期驗貨報告，不良率在約定範圍內</t>
        </is>
      </c>
      <c r="F17" s="11" t="inlineStr">
        <is>
          <t>玩具線</t>
        </is>
      </c>
      <c r="G17" s="10" t="inlineStr">
        <is>
          <t>R-09</t>
        </is>
      </c>
      <c r="H17" s="11" t="inlineStr">
        <is>
          <t>未開始</t>
        </is>
      </c>
      <c r="I17" s="8" t="n"/>
      <c r="J17" s="11">
        <f>IF(H17="已完成",IF(I17="","",MAX(0,I17-C17)),IF(TODAY()&gt;C17,TODAY()-C17,""))</f>
        <v/>
      </c>
      <c r="K17" s="10" t="inlineStr">
        <is>
          <t>12/25–26 香港公眾假期</t>
        </is>
      </c>
    </row>
    <row r="18" ht="22" customHeight="1">
      <c r="A18" s="7" t="inlineStr">
        <is>
          <t>W12</t>
        </is>
      </c>
      <c r="B18" s="8" t="n">
        <v>46384</v>
      </c>
      <c r="C18" s="8" t="n">
        <v>46388</v>
      </c>
      <c r="D18" s="9" t="inlineStr">
        <is>
          <t>大貨完成</t>
        </is>
      </c>
      <c r="E18" s="10" t="inlineStr">
        <is>
          <t>12/31 前全部大貨完成</t>
        </is>
      </c>
      <c r="F18" s="11" t="inlineStr">
        <is>
          <t>玩具線</t>
        </is>
      </c>
      <c r="G18" s="10" t="inlineStr">
        <is>
          <t>R-09</t>
        </is>
      </c>
      <c r="H18" s="11" t="inlineStr">
        <is>
          <t>未開始</t>
        </is>
      </c>
      <c r="I18" s="8" t="n"/>
      <c r="J18" s="11">
        <f>IF(H18="已完成",IF(I18="","",MAX(0,I18-C18)),IF(TODAY()&gt;C18,TODAY()-C18,""))</f>
        <v/>
      </c>
      <c r="K18" s="10" t="inlineStr">
        <is>
          <t>1/1 元旦</t>
        </is>
      </c>
    </row>
    <row r="19" ht="38" customHeight="1">
      <c r="A19" s="7" t="inlineStr">
        <is>
          <t>W13</t>
        </is>
      </c>
      <c r="B19" s="8" t="n">
        <v>46391</v>
      </c>
      <c r="C19" s="8" t="n">
        <v>46395</v>
      </c>
      <c r="D19" s="9" t="inlineStr">
        <is>
          <t>尾期驗貨通過；客服上線</t>
        </is>
      </c>
      <c r="E19" s="10" t="inlineStr">
        <is>
          <t>AQL 尾期驗貨通過；客服聯絡方式、常見問題、保修條款上線</t>
        </is>
      </c>
      <c r="F19" s="11" t="inlineStr">
        <is>
          <t>兩條線</t>
        </is>
      </c>
      <c r="G19" s="10" t="inlineStr">
        <is>
          <t>R-11</t>
        </is>
      </c>
      <c r="H19" s="11" t="inlineStr">
        <is>
          <t>未開始</t>
        </is>
      </c>
      <c r="I19" s="8" t="n"/>
      <c r="J19" s="11">
        <f>IF(H19="已完成",IF(I19="","",MAX(0,I19-C19)),IF(TODAY()&gt;C19,TODAY()-C19,""))</f>
        <v/>
      </c>
      <c r="K19" s="10" t="inlineStr">
        <is>
          <t>緩衝週</t>
        </is>
      </c>
    </row>
    <row r="20" ht="38" customHeight="1">
      <c r="A20" s="7" t="inlineStr">
        <is>
          <t>W14</t>
        </is>
      </c>
      <c r="B20" s="8" t="n">
        <v>46398</v>
      </c>
      <c r="C20" s="8" t="n">
        <v>46402</v>
      </c>
      <c r="D20" s="9" t="inlineStr">
        <is>
          <t>1/15 出廠</t>
        </is>
      </c>
      <c r="E20" s="10" t="inlineStr">
        <is>
          <t>出貨單、序號與 MAC 對照表；全部設備已登記；三個 App 公開發佈</t>
        </is>
      </c>
      <c r="F20" s="11" t="inlineStr">
        <is>
          <t>兩條線</t>
        </is>
      </c>
      <c r="G20" s="10" t="inlineStr">
        <is>
          <t>R-15</t>
        </is>
      </c>
      <c r="H20" s="11" t="inlineStr">
        <is>
          <t>未開始</t>
        </is>
      </c>
      <c r="I20" s="8" t="n"/>
      <c r="J20" s="11">
        <f>IF(H20="已完成",IF(I20="","",MAX(0,I20-C20)),IF(TODAY()&gt;C20,TODAY()-C20,""))</f>
        <v/>
      </c>
      <c r="K20" s="10" t="inlineStr"/>
    </row>
    <row r="21" ht="22" customHeight="1">
      <c r="A21" s="7" t="inlineStr">
        <is>
          <t>W15–16</t>
        </is>
      </c>
      <c r="B21" s="8" t="n">
        <v>46405</v>
      </c>
      <c r="C21" s="8" t="n">
        <v>46416</v>
      </c>
      <c r="D21" s="9" t="inlineStr">
        <is>
          <t>全部送達</t>
        </is>
      </c>
      <c r="E21" s="10" t="inlineStr">
        <is>
          <t>簽收記錄全部在 1/29 或之前</t>
        </is>
      </c>
      <c r="F21" s="11" t="inlineStr">
        <is>
          <t>玩具線</t>
        </is>
      </c>
      <c r="G21" s="10" t="inlineStr">
        <is>
          <t>R-15</t>
        </is>
      </c>
      <c r="H21" s="11" t="inlineStr">
        <is>
          <t>未開始</t>
        </is>
      </c>
      <c r="I21" s="8" t="n"/>
      <c r="J21" s="11">
        <f>IF(H21="已完成",IF(I21="","",MAX(0,I21-C21)),IF(TODAY()&gt;C21,TODAY()-C21,""))</f>
        <v/>
      </c>
      <c r="K21" s="10" t="inlineStr">
        <is>
          <t>農曆新年 2/6</t>
        </is>
      </c>
    </row>
    <row r="23">
      <c r="A23" s="12" t="inlineStr">
        <is>
          <t>說明</t>
        </is>
      </c>
    </row>
    <row r="24">
      <c r="A24" s="2" t="inlineStr">
        <is>
          <t>狀態：未開始／進行中／已完成／有風險（可能趕不上，要處理）／延誤（已過結束日仍未完成）。</t>
        </is>
      </c>
    </row>
    <row r="25">
      <c r="A25" s="2" t="inlineStr">
        <is>
          <t>黃色底 = 本週。「逾期（天）」由公式計算：未完成且已過結束日，顯示逾期天數；已完成則顯示比計劃晚了幾天。</t>
        </is>
      </c>
    </row>
    <row r="26">
      <c r="A26" s="2" t="inlineStr">
        <is>
          <t>W5（外觀簽樣）、W7（PP 樣和大貨單）、W9（試產）延誤，會直接推遲 1/15 出廠，要即時處理。</t>
        </is>
      </c>
    </row>
    <row r="27">
      <c r="A27" s="2" t="inlineStr">
        <is>
          <t>改動日期或里程碑時，在「變更記錄」記一行。</t>
        </is>
      </c>
    </row>
  </sheetData>
  <mergeCells count="7">
    <mergeCell ref="A26:K26"/>
    <mergeCell ref="A25:K25"/>
    <mergeCell ref="A24:K24"/>
    <mergeCell ref="A2:K2"/>
    <mergeCell ref="A1:K1"/>
    <mergeCell ref="A23:K23"/>
    <mergeCell ref="A27:K27"/>
  </mergeCells>
  <conditionalFormatting sqref="A7:K21">
    <cfRule type="expression" priority="1" dxfId="0">
      <formula>AND(TODAY()&gt;=$B7,TODAY()&lt;=$C7+2)</formula>
    </cfRule>
  </conditionalFormatting>
  <conditionalFormatting sqref="H7:H21">
    <cfRule type="cellIs" priority="2" operator="equal" dxfId="1">
      <formula>"已完成"</formula>
    </cfRule>
    <cfRule type="cellIs" priority="3" operator="equal" dxfId="2">
      <formula>"進行中"</formula>
    </cfRule>
    <cfRule type="cellIs" priority="4" operator="equal" dxfId="3">
      <formula>"有風險"</formula>
    </cfRule>
    <cfRule type="cellIs" priority="5" operator="equal" dxfId="4">
      <formula>"延誤"</formula>
    </cfRule>
  </conditionalFormatting>
  <conditionalFormatting sqref="J7:J21">
    <cfRule type="cellIs" priority="6" operator="greaterThan" dxfId="5">
      <formula>0</formula>
    </cfRule>
  </conditionalFormatting>
  <dataValidations count="2">
    <dataValidation sqref="H7:H21" showDropDown="0" showInputMessage="0" showErrorMessage="0" allowBlank="0" error="請從清單選擇：未開始、進行中、已完成、有風險、延誤" type="list">
      <formula1>"未開始,進行中,已完成,有風險,延誤"</formula1>
    </dataValidation>
    <dataValidation sqref="I7:I21" showDropDown="0" showInputMessage="0" showErrorMessage="0" allowBlank="1" type="date" operator="greaterThan">
      <formula1>DATE(2026,1,1)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36" customWidth="1" min="3" max="3"/>
    <col width="16" customWidth="1" min="4" max="4"/>
    <col width="12" customWidth="1" min="5" max="5"/>
  </cols>
  <sheetData>
    <row r="1">
      <c r="A1" s="6" t="inlineStr">
        <is>
          <t>日期</t>
        </is>
      </c>
      <c r="B1" s="6" t="inlineStr">
        <is>
          <t>改了什麼</t>
        </is>
      </c>
      <c r="C1" s="6" t="inlineStr">
        <is>
          <t>原因</t>
        </is>
      </c>
      <c r="D1" s="6" t="inlineStr">
        <is>
          <t>影響 1/15 出廠？</t>
        </is>
      </c>
      <c r="E1" s="6" t="inlineStr">
        <is>
          <t>誰決定</t>
        </is>
      </c>
    </row>
    <row r="2">
      <c r="A2" s="13" t="n">
        <v>46307</v>
      </c>
      <c r="B2" s="10" t="inlineStr">
        <is>
          <t>建立時間表（按路線圖草案 v0.4）</t>
        </is>
      </c>
      <c r="C2" s="10" t="inlineStr">
        <is>
          <t>—</t>
        </is>
      </c>
      <c r="D2" s="10" t="inlineStr">
        <is>
          <t>否</t>
        </is>
      </c>
      <c r="E2" s="10" t="inlineStr">
        <is>
          <t>—</t>
        </is>
      </c>
    </row>
    <row r="3">
      <c r="A3" s="13" t="n"/>
      <c r="B3" s="10" t="n"/>
      <c r="C3" s="10" t="n"/>
      <c r="D3" s="10" t="n"/>
      <c r="E3" s="10" t="n"/>
    </row>
    <row r="4">
      <c r="A4" s="13" t="n"/>
      <c r="B4" s="10" t="n"/>
      <c r="C4" s="10" t="n"/>
      <c r="D4" s="10" t="n"/>
      <c r="E4" s="10" t="n"/>
    </row>
    <row r="5">
      <c r="A5" s="13" t="n"/>
      <c r="B5" s="10" t="n"/>
      <c r="C5" s="10" t="n"/>
      <c r="D5" s="10" t="n"/>
      <c r="E5" s="10" t="n"/>
    </row>
    <row r="6">
      <c r="A6" s="13" t="n"/>
      <c r="B6" s="10" t="n"/>
      <c r="C6" s="10" t="n"/>
      <c r="D6" s="10" t="n"/>
      <c r="E6" s="10" t="n"/>
    </row>
    <row r="7">
      <c r="A7" s="13" t="n"/>
      <c r="B7" s="10" t="n"/>
      <c r="C7" s="10" t="n"/>
      <c r="D7" s="10" t="n"/>
      <c r="E7" s="10" t="n"/>
    </row>
    <row r="8">
      <c r="A8" s="13" t="n"/>
      <c r="B8" s="10" t="n"/>
      <c r="C8" s="10" t="n"/>
      <c r="D8" s="10" t="n"/>
      <c r="E8" s="10" t="n"/>
    </row>
    <row r="9">
      <c r="A9" s="13" t="n"/>
      <c r="B9" s="10" t="n"/>
      <c r="C9" s="10" t="n"/>
      <c r="D9" s="10" t="n"/>
      <c r="E9" s="10" t="n"/>
    </row>
    <row r="10">
      <c r="A10" s="13" t="n"/>
      <c r="B10" s="10" t="n"/>
      <c r="C10" s="10" t="n"/>
      <c r="D10" s="10" t="n"/>
      <c r="E10" s="10" t="n"/>
    </row>
    <row r="11">
      <c r="A11" s="13" t="n"/>
      <c r="B11" s="10" t="n"/>
      <c r="C11" s="10" t="n"/>
      <c r="D11" s="10" t="n"/>
      <c r="E11" s="10" t="n"/>
    </row>
    <row r="12">
      <c r="A12" s="13" t="n"/>
      <c r="B12" s="10" t="n"/>
      <c r="C12" s="10" t="n"/>
      <c r="D12" s="10" t="n"/>
      <c r="E12" s="10" t="n"/>
    </row>
    <row r="13">
      <c r="A13" s="13" t="n"/>
      <c r="B13" s="10" t="n"/>
      <c r="C13" s="10" t="n"/>
      <c r="D13" s="10" t="n"/>
      <c r="E13" s="10" t="n"/>
    </row>
    <row r="14">
      <c r="A14" s="13" t="n"/>
      <c r="B14" s="10" t="n"/>
      <c r="C14" s="10" t="n"/>
      <c r="D14" s="10" t="n"/>
      <c r="E14" s="10" t="n"/>
    </row>
    <row r="15">
      <c r="A15" s="13" t="n"/>
      <c r="B15" s="10" t="n"/>
      <c r="C15" s="10" t="n"/>
      <c r="D15" s="10" t="n"/>
      <c r="E15" s="10" t="n"/>
    </row>
    <row r="16">
      <c r="A16" s="13" t="n"/>
      <c r="B16" s="10" t="n"/>
      <c r="C16" s="10" t="n"/>
      <c r="D16" s="10" t="n"/>
      <c r="E16" s="10" t="n"/>
    </row>
    <row r="17">
      <c r="A17" s="13" t="n"/>
      <c r="B17" s="10" t="n"/>
      <c r="C17" s="10" t="n"/>
      <c r="D17" s="10" t="n"/>
      <c r="E17" s="10" t="n"/>
    </row>
    <row r="18">
      <c r="A18" s="13" t="n"/>
      <c r="B18" s="10" t="n"/>
      <c r="C18" s="10" t="n"/>
      <c r="D18" s="10" t="n"/>
      <c r="E18" s="10" t="n"/>
    </row>
    <row r="19">
      <c r="A19" s="13" t="n"/>
      <c r="B19" s="10" t="n"/>
      <c r="C19" s="10" t="n"/>
      <c r="D19" s="10" t="n"/>
      <c r="E19" s="10" t="n"/>
    </row>
    <row r="20">
      <c r="A20" s="13" t="n"/>
      <c r="B20" s="10" t="n"/>
      <c r="C20" s="10" t="n"/>
      <c r="D20" s="10" t="n"/>
      <c r="E20" s="10" t="n"/>
    </row>
    <row r="21">
      <c r="A21" s="13" t="n"/>
      <c r="B21" s="10" t="n"/>
      <c r="C21" s="10" t="n"/>
      <c r="D21" s="10" t="n"/>
      <c r="E21" s="10" t="n"/>
    </row>
    <row r="22">
      <c r="A22" s="13" t="n"/>
      <c r="B22" s="10" t="n"/>
      <c r="C22" s="10" t="n"/>
      <c r="D22" s="10" t="n"/>
      <c r="E22" s="10" t="n"/>
    </row>
    <row r="23">
      <c r="A23" s="13" t="n"/>
      <c r="B23" s="10" t="n"/>
      <c r="C23" s="10" t="n"/>
      <c r="D23" s="10" t="n"/>
      <c r="E23" s="10" t="n"/>
    </row>
    <row r="24">
      <c r="A24" s="13" t="n"/>
      <c r="B24" s="10" t="n"/>
      <c r="C24" s="10" t="n"/>
      <c r="D24" s="10" t="n"/>
      <c r="E24" s="10" t="n"/>
    </row>
    <row r="25">
      <c r="A25" s="13" t="n"/>
      <c r="B25" s="10" t="n"/>
      <c r="C25" s="10" t="n"/>
      <c r="D25" s="10" t="n"/>
      <c r="E25" s="10" t="n"/>
    </row>
    <row r="26">
      <c r="A26" s="13" t="n"/>
      <c r="B26" s="10" t="n"/>
      <c r="C26" s="10" t="n"/>
      <c r="D26" s="10" t="n"/>
      <c r="E26" s="10" t="n"/>
    </row>
    <row r="27">
      <c r="A27" s="13" t="n"/>
      <c r="B27" s="10" t="n"/>
      <c r="C27" s="10" t="n"/>
      <c r="D27" s="10" t="n"/>
      <c r="E27" s="10" t="n"/>
    </row>
    <row r="28">
      <c r="A28" s="13" t="n"/>
      <c r="B28" s="10" t="n"/>
      <c r="C28" s="10" t="n"/>
      <c r="D28" s="10" t="n"/>
      <c r="E28" s="10" t="n"/>
    </row>
    <row r="29">
      <c r="A29" s="13" t="n"/>
      <c r="B29" s="10" t="n"/>
      <c r="C29" s="10" t="n"/>
      <c r="D29" s="10" t="n"/>
      <c r="E29" s="10" t="n"/>
    </row>
  </sheetData>
  <dataValidations count="1">
    <dataValidation sqref="D2:D29" showDropDown="0" showInputMessage="0" showErrorMessage="0" allowBlank="1" type="list">
      <formula1>"否,可能,是"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2026-10-12T07:06:12Z</dcterms:created>
  <dcterms:modified xmlns:dcterms="http://purl.org/dc/terms/" xmlns:xsi="http://www.w3.org/2001/XMLSchema-instance" xsi:type="dcterms:W3CDTF">2026-10-12T07:06:12Z</dcterms:modified>
</cp:coreProperties>
</file>