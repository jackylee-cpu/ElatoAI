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'任務清單'!$A$1:$P$95</definedName>
    <definedName name="_xlnm._FilterDatabase" localSheetId="2" hidden="1">'待確認問題'!$A$1:$G$14</definedName>
    <definedName name="_xlnm._FilterDatabase" localSheetId="3" hidden="1">'更新記錄'!$A$1:$I$301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22:19　·　本頁由 tracker.py 自動生成，請勿手動編輯</t>
        </is>
      </c>
    </row>
    <row r="3">
      <c r="A3" s="3" t="inlineStr">
        <is>
          <t>總進度：22/90 已完成（24%）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22</v>
      </c>
      <c r="D8" s="7">
        <f>COUNTIFS('任務清單'!$B:$B,$A8,'任務清單'!$F:$F,D$5)</f>
        <v>8</v>
      </c>
      <c r="E8" s="7">
        <f>COUNTIFS('任務清單'!$B:$B,$A8,'任務清單'!$F:$F,E$5)</f>
        <v>7</v>
      </c>
      <c r="F8" s="7">
        <f>COUNTIFS('任務清單'!$B:$B,$A8,'任務清單'!$F:$F,F$5)</f>
        <v>7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0.3181818181818182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94</v>
      </c>
      <c r="D10" s="5">
        <f>SUM(D6:D9)</f>
        <v>46</v>
      </c>
      <c r="E10" s="5">
        <f>SUM(E6:E9)</f>
        <v>17</v>
      </c>
      <c r="F10" s="5">
        <f>SUM(F6:F9)</f>
        <v>22</v>
      </c>
      <c r="G10" s="5">
        <f>SUM(G6:G9)</f>
        <v>5</v>
      </c>
      <c r="H10" s="5">
        <f>SUM(H6:H9)</f>
        <v>4</v>
      </c>
      <c r="I10" s="9">
        <f>IFERROR(F10/(C10-H10),0)</f>
        <v>0.24444444444444444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14</v>
      </c>
      <c r="E14" s="7">
        <f>COUNTIFS('任務清單'!$C:$C,$A14,'任務清單'!$F:$F,E$12)</f>
        <v>10</v>
      </c>
      <c r="F14" s="7">
        <f>COUNTIFS('任務清單'!$C:$C,$A14,'任務清單'!$F:$F,F$12)</f>
        <v>7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0.21212121212121213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28</v>
      </c>
      <c r="D15" s="7">
        <f>COUNTIFS('任務清單'!$C:$C,$A15,'任務清單'!$F:$F,D$12)</f>
        <v>23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94</v>
      </c>
      <c r="D17" s="5">
        <f>SUM(D13:D16)</f>
        <v>46</v>
      </c>
      <c r="E17" s="5">
        <f>SUM(E13:E16)</f>
        <v>17</v>
      </c>
      <c r="F17" s="5">
        <f>SUM(F13:F16)</f>
        <v>22</v>
      </c>
      <c r="G17" s="5">
        <f>SUM(G13:G16)</f>
        <v>5</v>
      </c>
      <c r="H17" s="5">
        <f>SUM(H13:H16)</f>
        <v>4</v>
      </c>
      <c r="I17" s="9">
        <f>IFERROR(F17/(C17-H17),0)</f>
        <v>0.24444444444444444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214" customHeight="1">
      <c r="A32" s="13" t="inlineStr">
        <is>
          <t>P2-16</t>
        </is>
      </c>
      <c r="B32" s="6" t="inlineStr">
        <is>
          <t>OTA 分批推送與後台發佈頁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
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F32" s="11" t="n"/>
      <c r="G32" s="11" t="n"/>
      <c r="H32" s="11" t="n"/>
      <c r="I32" s="12" t="n"/>
    </row>
    <row r="33" ht="382" customHeight="1">
      <c r="A33" s="13" t="inlineStr">
        <is>
          <t>P2-21</t>
        </is>
      </c>
      <c r="B33" s="6" t="inlineStr">
        <is>
          <t>P2-16 ⑤ 後台 OTA 頁換成真實數據與操作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上次測試：部分通過 — 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
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F33" s="11" t="n"/>
      <c r="G33" s="11" t="n"/>
      <c r="H33" s="11" t="n"/>
      <c r="I33" s="12" t="n"/>
    </row>
    <row r="34" ht="200" customHeight="1">
      <c r="A34" s="13" t="inlineStr">
        <is>
          <t>R-21</t>
        </is>
      </c>
      <c r="B34" s="6" t="inlineStr">
        <is>
          <t>藍牙配網與綁定（取代熱點配網）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4" s="11" t="n"/>
      <c r="G34" s="11" t="n"/>
      <c r="H34" s="11" t="n"/>
      <c r="I34" s="12" t="n"/>
    </row>
    <row r="35" ht="116" customHeight="1">
      <c r="A35" s="13" t="inlineStr">
        <is>
          <t>R-36</t>
        </is>
      </c>
      <c r="B35" s="6" t="inlineStr">
        <is>
          <t>未認領的設備停在配對狀態，不再每秒重連 websocket</t>
        </is>
      </c>
      <c r="C35" s="13" t="inlineStr">
        <is>
          <t>2 內測準備</t>
        </is>
      </c>
      <c r="D35" s="13" t="inlineStr">
        <is>
          <t>進行中</t>
        </is>
      </c>
      <c r="E35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5" s="11" t="n"/>
      <c r="G35" s="11" t="n"/>
      <c r="H35" s="11" t="n"/>
      <c r="I35" s="12" t="n"/>
    </row>
    <row r="36" ht="228" customHeight="1">
      <c r="A36" s="13" t="inlineStr">
        <is>
          <t>P2-12</t>
        </is>
      </c>
      <c r="B36" s="6" t="inlineStr">
        <is>
          <t>量產燒錄前加大 app 分區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6" s="11" t="n"/>
      <c r="G36" s="11" t="n"/>
      <c r="H36" s="11" t="n"/>
      <c r="I36" s="12" t="n"/>
    </row>
    <row r="37" ht="242" customHeight="1">
      <c r="A37" s="13" t="inlineStr">
        <is>
          <t>R-37</t>
        </is>
      </c>
      <c r="B37" s="6" t="inlineStr">
        <is>
          <t>網頁設定玩具的 Wi-Fi：查看、新增、刪除</t>
        </is>
      </c>
      <c r="C37" s="13" t="inlineStr">
        <is>
          <t>3 封閉內測</t>
        </is>
      </c>
      <c r="D37" s="13" t="inlineStr">
        <is>
          <t>進行中</t>
        </is>
      </c>
      <c r="E37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7" s="11" t="n"/>
      <c r="G37" s="11" t="n"/>
      <c r="H37" s="11" t="n"/>
      <c r="I37" s="12" t="n"/>
    </row>
    <row r="38" ht="102" customHeight="1">
      <c r="A38" s="13" t="inlineStr">
        <is>
          <t>R-16</t>
        </is>
      </c>
      <c r="B38" s="6" t="inlineStr">
        <is>
          <t>Spotpear 量產版加電池電壓檢測（GPIO0 分壓）</t>
        </is>
      </c>
      <c r="C38" s="13" t="inlineStr">
        <is>
          <t>1 止血定案</t>
        </is>
      </c>
      <c r="D38" s="13" t="inlineStr">
        <is>
          <t>未開始</t>
        </is>
      </c>
      <c r="E38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P1-11</t>
        </is>
      </c>
      <c r="B39" s="6" t="inlineStr">
        <is>
          <t>伺服器與資料庫直接存取的管控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P2-02</t>
        </is>
      </c>
      <c r="B40" s="6" t="inlineStr">
        <is>
          <t>CI 跑測試與靜態檢查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推送與 PR 時跑 pytest、ruff、pyright、next lint、tsc --noEmit、pio run；任何一項失敗就不發佈 image。</t>
        </is>
      </c>
      <c r="F40" s="11" t="n"/>
      <c r="G40" s="11" t="n"/>
      <c r="H40" s="11" t="n"/>
      <c r="I40" s="12" t="n"/>
    </row>
    <row r="41" ht="32" customHeight="1">
      <c r="A41" s="13" t="inlineStr">
        <is>
          <t>P2-04</t>
        </is>
      </c>
      <c r="B41" s="6" t="inlineStr">
        <is>
          <t>容器改用非 root 用戶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兩個 Dockerfile 都設定非 root 的 USER。</t>
        </is>
      </c>
      <c r="F41" s="11" t="n"/>
      <c r="G41" s="11" t="n"/>
      <c r="H41" s="11" t="n"/>
      <c r="I41" s="12" t="n"/>
    </row>
    <row r="42" ht="46" customHeight="1">
      <c r="A42" s="13" t="inlineStr">
        <is>
          <t>R-04</t>
        </is>
      </c>
      <c r="B42" s="6" t="inlineStr">
        <is>
          <t>粵語質量評測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2" s="11" t="n"/>
      <c r="G42" s="11" t="n"/>
      <c r="H42" s="11" t="n"/>
      <c r="I42" s="12" t="n"/>
    </row>
    <row r="43" ht="116" customHeight="1">
      <c r="A43" s="13" t="inlineStr">
        <is>
          <t>R-25</t>
        </is>
      </c>
      <c r="B43" s="6" t="inlineStr">
        <is>
          <t>網頁的品牌主題系統</t>
        </is>
      </c>
      <c r="C43" s="13" t="inlineStr">
        <is>
          <t>2 內測準備</t>
        </is>
      </c>
      <c r="D43" s="13" t="inlineStr">
        <is>
          <t>未開始</t>
        </is>
      </c>
      <c r="E43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3" s="11" t="n"/>
      <c r="G43" s="11" t="n"/>
      <c r="H43" s="11" t="n"/>
      <c r="I43" s="12" t="n"/>
    </row>
    <row r="45">
      <c r="A45" s="10" t="inlineStr">
        <is>
          <t>✅ 最近完成與測試效果</t>
        </is>
      </c>
    </row>
    <row r="46">
      <c r="A46" s="4" t="inlineStr">
        <is>
          <t>編號</t>
        </is>
      </c>
      <c r="B46" s="4" t="inlineStr">
        <is>
          <t>任務</t>
        </is>
      </c>
      <c r="C46" s="4" t="inlineStr">
        <is>
          <t>測試結果</t>
        </is>
      </c>
      <c r="D46" s="4" t="inlineStr">
        <is>
          <t>完成日期</t>
        </is>
      </c>
      <c r="E46" s="4" t="inlineStr">
        <is>
          <t>測試證據</t>
        </is>
      </c>
      <c r="F46" s="11" t="n"/>
      <c r="G46" s="11" t="n"/>
      <c r="H46" s="11" t="n"/>
      <c r="I46" s="12" t="n"/>
    </row>
    <row r="47" ht="214" customHeight="1">
      <c r="A47" s="13" t="inlineStr">
        <is>
          <t>P2-20</t>
        </is>
      </c>
      <c r="B47" s="6" t="inlineStr">
        <is>
          <t>P2-16 ④ 從後台上傳與發佈韌體（取代手貼 service key）</t>
        </is>
      </c>
      <c r="C47" s="13" t="inlineStr">
        <is>
          <t>通過</t>
        </is>
      </c>
      <c r="D47" s="13" t="inlineStr">
        <is>
          <t>2026-10-14</t>
        </is>
      </c>
      <c r="E47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7" s="11" t="n"/>
      <c r="G47" s="11" t="n"/>
      <c r="H47" s="11" t="n"/>
      <c r="I47" s="12" t="n"/>
    </row>
    <row r="48" ht="158" customHeight="1">
      <c r="A48" s="13" t="inlineStr">
        <is>
          <t>P2-19</t>
        </is>
      </c>
      <c r="B48" s="6" t="inlineStr">
        <is>
          <t>P2-16 ③ 回滾過多時自動暫停推送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8" s="11" t="n"/>
      <c r="G48" s="11" t="n"/>
      <c r="H48" s="11" t="n"/>
      <c r="I48" s="12" t="n"/>
    </row>
    <row r="49" ht="200" customHeight="1">
      <c r="A49" s="13" t="inlineStr">
        <is>
          <t>P2-18</t>
        </is>
      </c>
      <c r="B49" s="6" t="inlineStr">
        <is>
          <t>P2-16 ② 按 MAC 雜湊穩定分組決定哪台收到 ota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49" s="11" t="n"/>
      <c r="G49" s="11" t="n"/>
      <c r="H49" s="11" t="n"/>
      <c r="I49" s="12" t="n"/>
    </row>
    <row r="50" ht="172" customHeight="1">
      <c r="A50" s="13" t="inlineStr">
        <is>
          <t>P2-17</t>
        </is>
      </c>
      <c r="B50" s="6" t="inlineStr">
        <is>
          <t>P2-16 ① 分批推送的數據表：推送階段、白名單、每台安裝結果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0" s="11" t="n"/>
      <c r="G50" s="11" t="n"/>
      <c r="H50" s="11" t="n"/>
      <c r="I50" s="12" t="n"/>
    </row>
    <row r="51" ht="116" customHeight="1">
      <c r="A51" s="13" t="inlineStr">
        <is>
          <t>R-41</t>
        </is>
      </c>
      <c r="B51" s="6" t="inlineStr">
        <is>
          <t>App 顯示玩具電量狀態（低電量提示）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1" s="11" t="n"/>
      <c r="G51" s="11" t="n"/>
      <c r="H51" s="11" t="n"/>
      <c r="I51" s="12" t="n"/>
    </row>
    <row r="52" ht="102" customHeight="1">
      <c r="A52" s="13" t="inlineStr">
        <is>
          <t>P0-12</t>
        </is>
      </c>
      <c r="B52" s="6" t="inlineStr">
        <is>
          <t>收緊 Admin 權限與路由保護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52" s="11" t="n"/>
      <c r="G52" s="11" t="n"/>
      <c r="H52" s="11" t="n"/>
      <c r="I52" s="12" t="n"/>
    </row>
    <row r="53" ht="88" customHeight="1">
      <c r="A53" s="13" t="inlineStr">
        <is>
          <t>P0-15</t>
        </is>
      </c>
      <c r="B53" s="6" t="inlineStr">
        <is>
          <t>角色表權限：只有內容管理員能發佈，關閉家長自建角色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53" s="11" t="n"/>
      <c r="G53" s="11" t="n"/>
      <c r="H53" s="11" t="n"/>
      <c r="I53" s="12" t="n"/>
    </row>
    <row r="54" ht="88" customHeight="1">
      <c r="A54" s="13" t="inlineStr">
        <is>
          <t>P0-16</t>
        </is>
      </c>
      <c r="B54" s="6" t="inlineStr">
        <is>
          <t>移除「醫生」身份與寫死的通關碼</t>
        </is>
      </c>
      <c r="C54" s="13" t="inlineStr">
        <is>
          <t>通過</t>
        </is>
      </c>
      <c r="D54" s="13" t="inlineStr">
        <is>
          <t>2026-10-12</t>
        </is>
      </c>
      <c r="E54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54" s="11" t="n"/>
      <c r="G54" s="11" t="n"/>
      <c r="H54" s="11" t="n"/>
      <c r="I54" s="12" t="n"/>
    </row>
    <row r="56">
      <c r="A56" s="10" t="inlineStr">
        <is>
          <t>⏳ 等待依賴 / ⛔ 阻塞</t>
        </is>
      </c>
    </row>
    <row r="57">
      <c r="A57" s="4" t="inlineStr">
        <is>
          <t>編號</t>
        </is>
      </c>
      <c r="B57" s="4" t="inlineStr">
        <is>
          <t>任務</t>
        </is>
      </c>
      <c r="C57" s="4" t="inlineStr">
        <is>
          <t>在等什麼</t>
        </is>
      </c>
      <c r="D57" s="11" t="n"/>
      <c r="E57" s="11" t="n"/>
      <c r="F57" s="11" t="n"/>
      <c r="G57" s="11" t="n"/>
      <c r="H57" s="11" t="n"/>
      <c r="I57" s="12" t="n"/>
    </row>
    <row r="58" ht="88" customHeight="1">
      <c r="A58" s="13" t="inlineStr">
        <is>
          <t>R-17</t>
        </is>
      </c>
      <c r="B58" s="6" t="inlineStr">
        <is>
          <t>Spotpear 電池耗盡時插電能否正常開機（供電路徑）</t>
        </is>
      </c>
      <c r="C58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8" s="11" t="n"/>
      <c r="E58" s="11" t="n"/>
      <c r="F58" s="11" t="n"/>
      <c r="G58" s="11" t="n"/>
      <c r="H58" s="11" t="n"/>
      <c r="I58" s="12" t="n"/>
    </row>
    <row r="59" ht="60" customHeight="1">
      <c r="A59" s="13" t="inlineStr">
        <is>
          <t>P1-01</t>
        </is>
      </c>
      <c r="B59" s="6" t="inlineStr">
        <is>
          <t>加入內容審核層（輸入與輸出）</t>
        </is>
      </c>
      <c r="C59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P1-09</t>
        </is>
      </c>
      <c r="B60" s="6" t="inlineStr">
        <is>
          <t>家長鎖：孩子模式進設定要輸入 PIN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R-12</t>
        </is>
      </c>
      <c r="B61" s="6" t="inlineStr">
        <is>
          <t>家長控制：每日使用上限和休息時段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R-29</t>
        </is>
      </c>
      <c r="B62" s="6" t="inlineStr">
        <is>
          <t>AI Buddy App（品牌 C）頁面</t>
        </is>
      </c>
      <c r="C62" s="6" t="inlineStr">
        <is>
          <t>阻塞：[2026-10-13] 2026-10-13 用戶決定：AI Buddy（品牌 C）延到 1/15 之後，本項不卡 1/15 出廠；AI Buddy 啟動時再開。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R-05</t>
        </is>
      </c>
      <c r="B63" s="6" t="inlineStr">
        <is>
          <t>內測版外殼（3D 打印 20 台）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R-06</t>
        </is>
      </c>
      <c r="B64" s="6" t="inlineStr">
        <is>
          <t>家長自助上手流程</t>
        </is>
      </c>
      <c r="C64" s="6" t="inlineStr">
        <is>
          <t>等 P0-11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R-13</t>
        </is>
      </c>
      <c r="B65" s="6" t="inlineStr">
        <is>
          <t>CP1 內測就緒檢查（10/30）</t>
        </is>
      </c>
      <c r="C65" s="6" t="inlineStr">
        <is>
          <t>等 P0-07、P0-11、P1-01、P1-02、P2-09、R-01、R-02、R-04、R-05、R-06、P1-11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R-18</t>
        </is>
      </c>
      <c r="B66" s="6" t="inlineStr">
        <is>
          <t>長按 BOOT 重新配網（開 AIBuddy-XXXX 熱點）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R-19</t>
        </is>
      </c>
      <c r="B67" s="6" t="inlineStr">
        <is>
          <t>外接按鈕：量產板加 I2C 擴展晶片（TCA9555）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R-20</t>
        </is>
      </c>
      <c r="B68" s="6" t="inlineStr">
        <is>
          <t>孩子資料與角色改成每台設備一份</t>
        </is>
      </c>
      <c r="C68" s="6" t="inlineStr">
        <is>
          <t>等 P1-12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R-27</t>
        </is>
      </c>
      <c r="B69" s="6" t="inlineStr">
        <is>
          <t>App 內登入：驗證碼、原生社交登入、刪除帳號</t>
        </is>
      </c>
      <c r="C69" s="6" t="inlineStr">
        <is>
          <t>等 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P0-14</t>
        </is>
      </c>
      <c r="B70" s="6" t="inlineStr">
        <is>
          <t>韌體簽章、Secure Boot 與 Flash 加密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P1-06</t>
        </is>
      </c>
      <c r="B71" s="6" t="inlineStr">
        <is>
          <t>處理 GPL-3.0 依賴（arduino-audio-tools）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P1-07</t>
        </is>
      </c>
      <c r="B72" s="6" t="inlineStr">
        <is>
          <t>LGPL 合規與第三方授權聲明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P1-08</t>
        </is>
      </c>
      <c r="B73" s="6" t="inlineStr">
        <is>
          <t>硬件認證</t>
        </is>
      </c>
      <c r="C73" s="6" t="inlineStr">
        <is>
          <t>等 R-01、R-05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P1-14</t>
        </is>
      </c>
      <c r="B74" s="6" t="inlineStr">
        <is>
          <t>Admin 內容安全頁：審核事件只按類別統計</t>
        </is>
      </c>
      <c r="C74" s="6" t="inlineStr">
        <is>
          <t>等 P1-01、P2-13</t>
        </is>
      </c>
      <c r="D74" s="11" t="n"/>
      <c r="E74" s="11" t="n"/>
      <c r="F74" s="11" t="n"/>
      <c r="G74" s="11" t="n"/>
      <c r="H74" s="11" t="n"/>
      <c r="I74" s="12" t="n"/>
    </row>
    <row r="75" ht="32" customHeight="1">
      <c r="A75" s="13" t="inlineStr">
        <is>
          <t>P2-15</t>
        </is>
      </c>
      <c r="B75" s="6" t="inlineStr">
        <is>
          <t>Admin 總覽頁：在線、用量、成本與待處理事項</t>
        </is>
      </c>
      <c r="C75" s="6" t="inlineStr">
        <is>
          <t>等 P2-14、P2-09</t>
        </is>
      </c>
      <c r="D75" s="11" t="n"/>
      <c r="E75" s="11" t="n"/>
      <c r="F75" s="11" t="n"/>
      <c r="G75" s="11" t="n"/>
      <c r="H75" s="11" t="n"/>
      <c r="I75" s="12" t="n"/>
    </row>
    <row r="76" ht="46" customHeight="1">
      <c r="A76" s="13" t="inlineStr">
        <is>
          <t>P2-22</t>
        </is>
      </c>
      <c r="B76" s="6" t="inlineStr">
        <is>
          <t>改服務器網址也不失聯：語音網址由後端下發、後端網址可遷移、已確認韌體長期連不上時自救</t>
        </is>
      </c>
      <c r="C76" s="6" t="inlineStr">
        <is>
          <t>等 R-35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R-07</t>
        </is>
      </c>
      <c r="B77" s="6" t="inlineStr">
        <is>
          <t>20 個家庭封閉內測</t>
        </is>
      </c>
      <c r="C77" s="6" t="inlineStr">
        <is>
          <t>等 R-13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R-08</t>
        </is>
      </c>
      <c r="B78" s="6" t="inlineStr">
        <is>
          <t>第 8 週關卡決策</t>
        </is>
      </c>
      <c r="C78" s="6" t="inlineStr">
        <is>
          <t>等 R-07、P2-09、P1-08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R-14</t>
        </is>
      </c>
      <c r="B79" s="6" t="inlineStr">
        <is>
          <t>離線兒歌與故事</t>
        </is>
      </c>
      <c r="C79" s="6" t="inlineStr">
        <is>
          <t>等 R-01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R-24</t>
        </is>
      </c>
      <c r="B80" s="6" t="inlineStr">
        <is>
          <t>設備只能用自己品牌的角色</t>
        </is>
      </c>
      <c r="C80" s="6" t="inlineStr">
        <is>
          <t>等 R-34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R-28</t>
        </is>
      </c>
      <c r="B81" s="6" t="inlineStr">
        <is>
          <t>三個 App 的殼：品牌版本與測試版</t>
        </is>
      </c>
      <c r="C81" s="6" t="inlineStr">
        <is>
          <t>等 R-25、R-26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R-30</t>
        </is>
      </c>
      <c r="B82" s="6" t="inlineStr">
        <is>
          <t>快活 App（品牌 A）頁面</t>
        </is>
      </c>
      <c r="C82" s="6" t="inlineStr">
        <is>
          <t>等 R-25、R-34、Q12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R-31</t>
        </is>
      </c>
      <c r="B83" s="6" t="inlineStr">
        <is>
          <t>政協青年聯會版 App（品牌 B）頁面</t>
        </is>
      </c>
      <c r="C83" s="6" t="inlineStr">
        <is>
          <t>等 R-25、R-34、Q13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R-35</t>
        </is>
      </c>
      <c r="B84" s="6" t="inlineStr">
        <is>
          <t>韌體按品牌連線：伺服器網址在出廠時寫入</t>
        </is>
      </c>
      <c r="C84" s="6" t="inlineStr">
        <is>
          <t>等 R-34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R-38</t>
        </is>
      </c>
      <c r="B85" s="6" t="inlineStr">
        <is>
          <t>公仔出廠鎖死所屬 IP，綁定時顯示該 IP 頭像</t>
        </is>
      </c>
      <c r="C85" s="6" t="inlineStr">
        <is>
          <t>等 P0-11</t>
        </is>
      </c>
      <c r="D85" s="11" t="n"/>
      <c r="E85" s="11" t="n"/>
      <c r="F85" s="11" t="n"/>
      <c r="G85" s="11" t="n"/>
      <c r="H85" s="11" t="n"/>
      <c r="I85" s="12" t="n"/>
    </row>
    <row r="86" ht="32" customHeight="1">
      <c r="A86" s="13" t="inlineStr">
        <is>
          <t>R-39</t>
        </is>
      </c>
      <c r="B86" s="6" t="inlineStr">
        <is>
          <t>Admin 出廠登記頁：匯入 MAC 清單、指定公仔、查看自檢結果</t>
        </is>
      </c>
      <c r="C86" s="6" t="inlineStr">
        <is>
          <t>等 R-38、P1-10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R-09</t>
        </is>
      </c>
      <c r="B87" s="6" t="inlineStr">
        <is>
          <t>量產外殼（真空複模）</t>
        </is>
      </c>
      <c r="C87" s="6" t="inlineStr">
        <is>
          <t>等 R-08、R-05、Q11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R-10</t>
        </is>
      </c>
      <c r="B88" s="6" t="inlineStr">
        <is>
          <t>出廠流程</t>
        </is>
      </c>
      <c r="C88" s="6" t="inlineStr">
        <is>
          <t>等 P0-14、R-01、P2-12、R-34、R-35、R-38、R-39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R-11</t>
        </is>
      </c>
      <c r="B89" s="6" t="inlineStr">
        <is>
          <t>售後：客服、保修與換機</t>
        </is>
      </c>
      <c r="C89" s="6" t="inlineStr">
        <is>
          <t>等 P2-14、R-40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R-15</t>
        </is>
      </c>
      <c r="B90" s="6" t="inlineStr">
        <is>
          <t>農曆新年前交付（生產 1/15、送達 1/29）</t>
        </is>
      </c>
      <c r="C90" s="6" t="inlineStr">
        <is>
          <t>等 R-09、R-10</t>
        </is>
      </c>
      <c r="D90" s="11" t="n"/>
      <c r="E90" s="11" t="n"/>
      <c r="F90" s="11" t="n"/>
      <c r="G90" s="11" t="n"/>
      <c r="H90" s="11" t="n"/>
      <c r="I90" s="12" t="n"/>
    </row>
    <row r="91" ht="18" customHeight="1">
      <c r="A91" s="13" t="inlineStr">
        <is>
          <t>R-33</t>
        </is>
      </c>
      <c r="B91" s="6" t="inlineStr">
        <is>
          <t>三個 App 送審並通過</t>
        </is>
      </c>
      <c r="C91" s="6" t="inlineStr">
        <is>
          <t>等 R-27、R-21、R-28、R-29、R-30、R-31、R-32</t>
        </is>
      </c>
      <c r="D91" s="11" t="n"/>
      <c r="E91" s="11" t="n"/>
      <c r="F91" s="11" t="n"/>
      <c r="G91" s="11" t="n"/>
      <c r="H91" s="11" t="n"/>
      <c r="I91" s="12" t="n"/>
    </row>
    <row r="92" ht="32" customHeight="1">
      <c r="A92" s="13" t="inlineStr">
        <is>
          <t>R-40</t>
        </is>
      </c>
      <c r="B92" s="6" t="inlineStr">
        <is>
          <t>Admin 客服查詢頁：查帳號、名下設備與最近事件</t>
        </is>
      </c>
      <c r="C92" s="6" t="inlineStr">
        <is>
          <t>等 P2-14、P1-10、P1-12</t>
        </is>
      </c>
      <c r="D92" s="11" t="n"/>
      <c r="E92" s="11" t="n"/>
      <c r="F92" s="11" t="n"/>
      <c r="G92" s="11" t="n"/>
      <c r="H92" s="11" t="n"/>
      <c r="I92" s="12" t="n"/>
    </row>
    <row r="94">
      <c r="A94" s="10" t="inlineStr">
        <is>
          <t>❓ 待確認問題</t>
        </is>
      </c>
    </row>
    <row r="95">
      <c r="A95" s="4" t="inlineStr">
        <is>
          <t>編號</t>
        </is>
      </c>
      <c r="B95" s="4" t="inlineStr">
        <is>
          <t>問題</t>
        </is>
      </c>
      <c r="C95" s="4" t="inlineStr">
        <is>
          <t>影響的任務 / 為什麼重要</t>
        </is>
      </c>
      <c r="D95" s="11" t="n"/>
      <c r="E95" s="11" t="n"/>
      <c r="F95" s="11" t="n"/>
      <c r="G95" s="11" t="n"/>
      <c r="H95" s="11" t="n"/>
      <c r="I95" s="12" t="n"/>
    </row>
    <row r="96" ht="18" customHeight="1">
      <c r="A96" s="13" t="inlineStr">
        <is>
          <t>Q3</t>
        </is>
      </c>
      <c r="B96" s="6" t="inlineStr">
        <is>
          <t>韌體打算閉源商業銷售嗎？</t>
        </is>
      </c>
      <c r="C96" s="6" t="inlineStr">
        <is>
          <t>P1-06, P1-07：決定 GPL／LGPL 依賴要開源還是替換。</t>
        </is>
      </c>
      <c r="D96" s="11" t="n"/>
      <c r="E96" s="11" t="n"/>
      <c r="F96" s="11" t="n"/>
      <c r="G96" s="11" t="n"/>
      <c r="H96" s="11" t="n"/>
      <c r="I96" s="12" t="n"/>
    </row>
    <row r="97" ht="32" customHeight="1">
      <c r="A97" s="13" t="inlineStr">
        <is>
          <t>Q11</t>
        </is>
      </c>
      <c r="B97" s="6" t="inlineStr">
        <is>
          <t>馬會快活的賽馬日版和新春版各多少隻（共 2,500）？</t>
        </is>
      </c>
      <c r="C97" s="6" t="inlineStr">
        <is>
          <t>R-09, R-15：兩款的服裝和配件要分開訂料；11/20 前不知道，PP 樣和大貨單（11/27）會被拖慢。由馬會決定。</t>
        </is>
      </c>
      <c r="D97" s="11" t="n"/>
      <c r="E97" s="11" t="n"/>
      <c r="F97" s="11" t="n"/>
      <c r="G97" s="11" t="n"/>
      <c r="H97" s="11" t="n"/>
      <c r="I97" s="12" t="n"/>
    </row>
    <row r="98" ht="60" customHeight="1">
      <c r="A98" s="13" t="inlineStr">
        <is>
          <t>Q12</t>
        </is>
      </c>
      <c r="B98" s="6" t="inlineStr">
        <is>
          <t>快活 App 的「會員綁定」是指甚麼：用我們自己的帳號（email 驗證碼），還是接馬會的會員帳號登入（SSO）？</t>
        </is>
      </c>
      <c r="C98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8" s="11" t="n"/>
      <c r="E98" s="11" t="n"/>
      <c r="F98" s="11" t="n"/>
      <c r="G98" s="11" t="n"/>
      <c r="H98" s="11" t="n"/>
      <c r="I98" s="12" t="n"/>
    </row>
    <row r="99" ht="46" customHeight="1">
      <c r="A99" s="13" t="inlineStr">
        <is>
          <t>Q13</t>
        </is>
      </c>
      <c r="B99" s="6" t="inlineStr">
        <is>
          <t>政協青年聯會版的角色、語言和內容由誰提供？什麼時候交？</t>
        </is>
      </c>
      <c r="C99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9" s="11" t="n"/>
      <c r="E99" s="11" t="n"/>
      <c r="F99" s="11" t="n"/>
      <c r="G99" s="11" t="n"/>
      <c r="H99" s="11" t="n"/>
      <c r="I99" s="12" t="n"/>
    </row>
    <row r="101">
      <c r="A101" s="10" t="inlineStr">
        <is>
          <t>說明</t>
        </is>
      </c>
    </row>
    <row r="102" ht="32" customHeight="1">
      <c r="A102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3" ht="18" customHeight="1">
      <c r="A103" s="14" t="inlineStr">
        <is>
          <t>・測試結果：未測試 / 通過 / 失敗 / 部分通過。測試證據寫跑了什麼、看到什麼，完整歷史在「更新記錄」。</t>
        </is>
      </c>
    </row>
    <row r="104" ht="18" customHeight="1">
      <c r="A104" s="14" t="inlineStr">
        <is>
          <t>・「接下來」按階段排序，同一階段內再按優先級；依賴還沒滿足的任務不會出現在「接下來」。</t>
        </is>
      </c>
    </row>
    <row r="105" ht="18" customHeight="1">
      <c r="A105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6" ht="32" customHeight="1">
      <c r="A106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7">
    <mergeCell ref="C82:I82"/>
    <mergeCell ref="E52:I52"/>
    <mergeCell ref="A56:I56"/>
    <mergeCell ref="E39:I39"/>
    <mergeCell ref="C67:I67"/>
    <mergeCell ref="E48:I48"/>
    <mergeCell ref="A101:I101"/>
    <mergeCell ref="A2:I2"/>
    <mergeCell ref="E29:I29"/>
    <mergeCell ref="E38:I38"/>
    <mergeCell ref="C83:I83"/>
    <mergeCell ref="C92:I92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C58:I58"/>
    <mergeCell ref="E30:I30"/>
    <mergeCell ref="E22:I22"/>
    <mergeCell ref="E46:I46"/>
    <mergeCell ref="A102:I102"/>
    <mergeCell ref="C85:I85"/>
    <mergeCell ref="C65:I65"/>
    <mergeCell ref="C75:I75"/>
    <mergeCell ref="C84:I84"/>
    <mergeCell ref="C80:I80"/>
    <mergeCell ref="E54:I54"/>
    <mergeCell ref="E32:I32"/>
    <mergeCell ref="C59:I59"/>
    <mergeCell ref="A1:I1"/>
    <mergeCell ref="E41:I41"/>
    <mergeCell ref="A45:I45"/>
    <mergeCell ref="A94:I94"/>
    <mergeCell ref="E47:I47"/>
    <mergeCell ref="C61:I61"/>
    <mergeCell ref="E43:I43"/>
    <mergeCell ref="C70:I70"/>
    <mergeCell ref="E24:I24"/>
    <mergeCell ref="E33:I33"/>
    <mergeCell ref="A3:I3"/>
    <mergeCell ref="A104:I104"/>
    <mergeCell ref="E35:I35"/>
    <mergeCell ref="A106:I106"/>
    <mergeCell ref="C74:I74"/>
    <mergeCell ref="C88:I88"/>
    <mergeCell ref="C99:I99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5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326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部分通過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31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進行中</t>
        </is>
      </c>
      <c r="G94" s="13" t="inlineStr">
        <is>
          <t>部分通過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298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未開始</t>
        </is>
      </c>
      <c r="G95" s="13" t="inlineStr">
        <is>
          <t>未測試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</sheetData>
  <autoFilter ref="A1:P95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</sheetData>
  <autoFilter ref="A1:I3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2026-10-14T14:19:18Z</dcterms:modified>
</cp:coreProperties>
</file>