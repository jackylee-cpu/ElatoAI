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21:59　·　本頁由 tracker.py 自動生成，請勿手動編輯</t>
        </is>
      </c>
    </row>
    <row r="3">
      <c r="A3" s="3" t="inlineStr">
        <is>
          <t>總進度：22/89 已完成（25%）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7</v>
      </c>
      <c r="E8" s="7">
        <f>COUNTIFS('任務清單'!$B:$B,$A8,'任務清單'!$F:$F,E$5)</f>
        <v>7</v>
      </c>
      <c r="F8" s="7">
        <f>COUNTIFS('任務清單'!$B:$B,$A8,'任務清單'!$F:$F,F$5)</f>
        <v>7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0.3333333333333333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45</v>
      </c>
      <c r="E10" s="5">
        <f>SUM(E6:E9)</f>
        <v>17</v>
      </c>
      <c r="F10" s="5">
        <f>SUM(F6:F9)</f>
        <v>22</v>
      </c>
      <c r="G10" s="5">
        <f>SUM(G6:G9)</f>
        <v>5</v>
      </c>
      <c r="H10" s="5">
        <f>SUM(H6:H9)</f>
        <v>4</v>
      </c>
      <c r="I10" s="9">
        <f>IFERROR(F10/(C10-H10),0)</f>
        <v>0.24719101123595505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10</v>
      </c>
      <c r="F14" s="7">
        <f>COUNTIFS('任務清單'!$C:$C,$A14,'任務清單'!$F:$F,F$12)</f>
        <v>7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0.21212121212121213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45</v>
      </c>
      <c r="E17" s="5">
        <f>SUM(E13:E16)</f>
        <v>17</v>
      </c>
      <c r="F17" s="5">
        <f>SUM(F13:F16)</f>
        <v>22</v>
      </c>
      <c r="G17" s="5">
        <f>SUM(G13:G16)</f>
        <v>5</v>
      </c>
      <c r="H17" s="5">
        <f>SUM(H13:H16)</f>
        <v>4</v>
      </c>
      <c r="I17" s="9">
        <f>IFERROR(F17/(C17-H17),0)</f>
        <v>0.24719101123595505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214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
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382" customHeight="1">
      <c r="A33" s="13" t="inlineStr">
        <is>
          <t>P2-21</t>
        </is>
      </c>
      <c r="B33" s="6" t="inlineStr">
        <is>
          <t>P2-16 ⑤ 後台 OTA 頁換成真實數據與操作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
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F33" s="11" t="n"/>
      <c r="G33" s="11" t="n"/>
      <c r="H33" s="11" t="n"/>
      <c r="I33" s="12" t="n"/>
    </row>
    <row r="34" ht="200" customHeight="1">
      <c r="A34" s="13" t="inlineStr">
        <is>
          <t>R-21</t>
        </is>
      </c>
      <c r="B34" s="6" t="inlineStr">
        <is>
          <t>藍牙配網與綁定（取代熱點配網）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4" s="11" t="n"/>
      <c r="G34" s="11" t="n"/>
      <c r="H34" s="11" t="n"/>
      <c r="I34" s="12" t="n"/>
    </row>
    <row r="35" ht="116" customHeight="1">
      <c r="A35" s="13" t="inlineStr">
        <is>
          <t>R-36</t>
        </is>
      </c>
      <c r="B35" s="6" t="inlineStr">
        <is>
          <t>未認領的設備停在配對狀態，不再每秒重連 websocket</t>
        </is>
      </c>
      <c r="C35" s="13" t="inlineStr">
        <is>
          <t>2 內測準備</t>
        </is>
      </c>
      <c r="D35" s="13" t="inlineStr">
        <is>
          <t>進行中</t>
        </is>
      </c>
      <c r="E35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5" s="11" t="n"/>
      <c r="G35" s="11" t="n"/>
      <c r="H35" s="11" t="n"/>
      <c r="I35" s="12" t="n"/>
    </row>
    <row r="36" ht="228" customHeight="1">
      <c r="A36" s="13" t="inlineStr">
        <is>
          <t>P2-12</t>
        </is>
      </c>
      <c r="B36" s="6" t="inlineStr">
        <is>
          <t>量產燒錄前加大 app 分區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6" s="11" t="n"/>
      <c r="G36" s="11" t="n"/>
      <c r="H36" s="11" t="n"/>
      <c r="I36" s="12" t="n"/>
    </row>
    <row r="37" ht="242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214" customHeight="1">
      <c r="A47" s="13" t="inlineStr">
        <is>
          <t>P2-20</t>
        </is>
      </c>
      <c r="B47" s="6" t="inlineStr">
        <is>
          <t>P2-16 ④ 從後台上傳與發佈韌體（取代手貼 service key）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7" s="11" t="n"/>
      <c r="G47" s="11" t="n"/>
      <c r="H47" s="11" t="n"/>
      <c r="I47" s="12" t="n"/>
    </row>
    <row r="48" ht="158" customHeight="1">
      <c r="A48" s="13" t="inlineStr">
        <is>
          <t>P2-19</t>
        </is>
      </c>
      <c r="B48" s="6" t="inlineStr">
        <is>
          <t>P2-16 ③ 回滾過多時自動暫停推送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8" s="11" t="n"/>
      <c r="G48" s="11" t="n"/>
      <c r="H48" s="11" t="n"/>
      <c r="I48" s="12" t="n"/>
    </row>
    <row r="49" ht="200" customHeight="1">
      <c r="A49" s="13" t="inlineStr">
        <is>
          <t>P2-18</t>
        </is>
      </c>
      <c r="B49" s="6" t="inlineStr">
        <is>
          <t>P2-16 ② 按 MAC 雜湊穩定分組決定哪台收到 ota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49" s="11" t="n"/>
      <c r="G49" s="11" t="n"/>
      <c r="H49" s="11" t="n"/>
      <c r="I49" s="12" t="n"/>
    </row>
    <row r="50" ht="172" customHeight="1">
      <c r="A50" s="13" t="inlineStr">
        <is>
          <t>P2-17</t>
        </is>
      </c>
      <c r="B50" s="6" t="inlineStr">
        <is>
          <t>P2-16 ① 分批推送的數據表：推送階段、白名單、每台安裝結果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0" s="11" t="n"/>
      <c r="G50" s="11" t="n"/>
      <c r="H50" s="11" t="n"/>
      <c r="I50" s="12" t="n"/>
    </row>
    <row r="51" ht="116" customHeight="1">
      <c r="A51" s="13" t="inlineStr">
        <is>
          <t>R-41</t>
        </is>
      </c>
      <c r="B51" s="6" t="inlineStr">
        <is>
          <t>App 顯示玩具電量狀態（低電量提示）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1" s="11" t="n"/>
      <c r="G51" s="11" t="n"/>
      <c r="H51" s="11" t="n"/>
      <c r="I51" s="12" t="n"/>
    </row>
    <row r="52" ht="102" customHeight="1">
      <c r="A52" s="13" t="inlineStr">
        <is>
          <t>P0-12</t>
        </is>
      </c>
      <c r="B52" s="6" t="inlineStr">
        <is>
          <t>收緊 Admin 權限與路由保護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52" s="11" t="n"/>
      <c r="G52" s="11" t="n"/>
      <c r="H52" s="11" t="n"/>
      <c r="I52" s="12" t="n"/>
    </row>
    <row r="53" ht="88" customHeight="1">
      <c r="A53" s="13" t="inlineStr">
        <is>
          <t>P0-15</t>
        </is>
      </c>
      <c r="B53" s="6" t="inlineStr">
        <is>
          <t>角色表權限：只有內容管理員能發佈，關閉家長自建角色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3" s="11" t="n"/>
      <c r="G53" s="11" t="n"/>
      <c r="H53" s="11" t="n"/>
      <c r="I53" s="12" t="n"/>
    </row>
    <row r="54" ht="88" customHeight="1">
      <c r="A54" s="13" t="inlineStr">
        <is>
          <t>P0-16</t>
        </is>
      </c>
      <c r="B54" s="6" t="inlineStr">
        <is>
          <t>移除「醫生」身份與寫死的通關碼</t>
        </is>
      </c>
      <c r="C54" s="13" t="inlineStr">
        <is>
          <t>通過</t>
        </is>
      </c>
      <c r="D54" s="13" t="inlineStr">
        <is>
          <t>2026-10-12</t>
        </is>
      </c>
      <c r="E54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P2-14、P2-09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P2-14、R-40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P2-14、P1-10、P1-12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A56:I56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74:I74"/>
    <mergeCell ref="C88:I88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326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部分通過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31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進行中</t>
        </is>
      </c>
      <c r="G94" s="13" t="inlineStr">
        <is>
          <t>部分通過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</sheetData>
  <autoFilter ref="A1:I2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2026-10-14T13:59:11Z</dcterms:modified>
</cp:coreProperties>
</file>