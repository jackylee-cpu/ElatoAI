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'任務清單'!$A$1:$P$57</definedName>
    <definedName name="_xlnm._FilterDatabase" localSheetId="2" hidden="1">'待確認問題'!$A$1:$G$10</definedName>
    <definedName name="_xlnm._FilterDatabase" localSheetId="3" hidden="1">'更新記錄'!$A$1:$I$128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18:02　·　本頁由 tracker.py 自動生成，請勿手動編輯</t>
        </is>
      </c>
    </row>
    <row r="3">
      <c r="A3" s="3" t="inlineStr">
        <is>
          <t>總進度：4/55 已完成（7%）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11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0.2727272727272727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56</v>
      </c>
      <c r="D10" s="5">
        <f>SUM(D6:D9)</f>
        <v>33</v>
      </c>
      <c r="E10" s="5">
        <f>SUM(E6:E9)</f>
        <v>16</v>
      </c>
      <c r="F10" s="5">
        <f>SUM(F6:F9)</f>
        <v>4</v>
      </c>
      <c r="G10" s="5">
        <f>SUM(G6:G9)</f>
        <v>2</v>
      </c>
      <c r="H10" s="5">
        <f>SUM(H6:H9)</f>
        <v>1</v>
      </c>
      <c r="I10" s="9">
        <f>IFERROR(F10/(C10-H10),0)</f>
        <v>0.07272727272727272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14</v>
      </c>
      <c r="D14" s="7">
        <f>COUNTIFS('任務清單'!$C:$C,$A14,'任務清單'!$F:$F,D$12)</f>
        <v>12</v>
      </c>
      <c r="E14" s="7">
        <f>COUNTIFS('任務清單'!$C:$C,$A14,'任務清單'!$F:$F,E$12)</f>
        <v>1</v>
      </c>
      <c r="F14" s="7">
        <f>COUNTIFS('任務清單'!$C:$C,$A14,'任務清單'!$F:$F,F$12)</f>
        <v>1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0.07142857142857142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56</v>
      </c>
      <c r="D17" s="5">
        <f>SUM(D13:D16)</f>
        <v>33</v>
      </c>
      <c r="E17" s="5">
        <f>SUM(E13:E16)</f>
        <v>16</v>
      </c>
      <c r="F17" s="5">
        <f>SUM(F13:F16)</f>
        <v>4</v>
      </c>
      <c r="G17" s="5">
        <f>SUM(G13:G16)</f>
        <v>2</v>
      </c>
      <c r="H17" s="5">
        <f>SUM(H13:H16)</f>
        <v>1</v>
      </c>
      <c r="I17" s="9">
        <f>IFERROR(F17/(C17-H17),0)</f>
        <v>0.07272727272727272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P2-11</t>
        </is>
      </c>
      <c r="B46" s="6" t="inlineStr">
        <is>
          <t>C3 播放時 async_tcp 觸發任務看門狗重啟</t>
        </is>
      </c>
      <c r="C46" s="13" t="inlineStr">
        <is>
          <t>通過</t>
        </is>
      </c>
      <c r="D46" s="13" t="inlineStr">
        <is>
          <t>2026-10-08</t>
        </is>
      </c>
      <c r="E4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F46" s="11" t="n"/>
      <c r="G46" s="11" t="n"/>
      <c r="H46" s="11" t="n"/>
      <c r="I46" s="12" t="n"/>
    </row>
    <row r="47" ht="88" customHeight="1">
      <c r="A47" s="13" t="inlineStr">
        <is>
          <t>R-03</t>
        </is>
      </c>
      <c r="B47" s="6" t="inlineStr">
        <is>
          <t>移除不用的 Deno／Cloudflare 後端與上游預設主機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7" s="11" t="n"/>
      <c r="G47" s="11" t="n"/>
      <c r="H47" s="11" t="n"/>
      <c r="I47" s="12" t="n"/>
    </row>
    <row r="48" ht="88" customHeight="1">
      <c r="A48" s="13" t="inlineStr">
        <is>
          <t>P2-01</t>
        </is>
      </c>
      <c r="B48" s="6" t="inlineStr">
        <is>
          <t>修好後端測試環境</t>
        </is>
      </c>
      <c r="C48" s="13" t="inlineStr">
        <is>
          <t>通過</t>
        </is>
      </c>
      <c r="D48" s="13" t="inlineStr">
        <is>
          <t>2026-10-07</t>
        </is>
      </c>
      <c r="E48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8" s="11" t="n"/>
      <c r="G48" s="11" t="n"/>
      <c r="H48" s="11" t="n"/>
      <c r="I48" s="12" t="n"/>
    </row>
    <row r="49" ht="60" customHeight="1">
      <c r="A49" s="13" t="inlineStr">
        <is>
          <t>P2-03</t>
        </is>
      </c>
      <c r="B49" s="6" t="inlineStr">
        <is>
          <t>提交目前未提交的改動</t>
        </is>
      </c>
      <c r="C49" s="13" t="inlineStr">
        <is>
          <t>通過</t>
        </is>
      </c>
      <c r="D49" s="13" t="inlineStr">
        <is>
          <t>2026-10-06</t>
        </is>
      </c>
      <c r="E49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9" s="11" t="n"/>
      <c r="G49" s="11" t="n"/>
      <c r="H49" s="11" t="n"/>
      <c r="I49" s="12" t="n"/>
    </row>
    <row r="51">
      <c r="A51" s="10" t="inlineStr">
        <is>
          <t>⏳ 等待依賴 / ⛔ 阻塞</t>
        </is>
      </c>
    </row>
    <row r="52">
      <c r="A52" s="4" t="inlineStr">
        <is>
          <t>編號</t>
        </is>
      </c>
      <c r="B52" s="4" t="inlineStr">
        <is>
          <t>任務</t>
        </is>
      </c>
      <c r="C52" s="4" t="inlineStr">
        <is>
          <t>在等什麼</t>
        </is>
      </c>
      <c r="D52" s="11" t="n"/>
      <c r="E52" s="11" t="n"/>
      <c r="F52" s="11" t="n"/>
      <c r="G52" s="11" t="n"/>
      <c r="H52" s="11" t="n"/>
      <c r="I52" s="12" t="n"/>
    </row>
    <row r="53" ht="60" customHeight="1">
      <c r="A53" s="13" t="inlineStr">
        <is>
          <t>R-16</t>
        </is>
      </c>
      <c r="B53" s="6" t="inlineStr">
        <is>
          <t>Spotpear 量產版加電池電壓檢測（GPIO0 分壓）</t>
        </is>
      </c>
      <c r="C53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3" s="11" t="n"/>
      <c r="E53" s="11" t="n"/>
      <c r="F53" s="11" t="n"/>
      <c r="G53" s="11" t="n"/>
      <c r="H53" s="11" t="n"/>
      <c r="I53" s="12" t="n"/>
    </row>
    <row r="54" ht="88" customHeight="1">
      <c r="A54" s="13" t="inlineStr">
        <is>
          <t>R-17</t>
        </is>
      </c>
      <c r="B54" s="6" t="inlineStr">
        <is>
          <t>Spotpear 電池耗盡時插電能否正常開機（供電路徑）</t>
        </is>
      </c>
      <c r="C54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P0-07</t>
        </is>
      </c>
      <c r="B55" s="6" t="inlineStr">
        <is>
          <t>輪換 JWT secret，作廢已發出的 token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P0-11</t>
        </is>
      </c>
      <c r="B56" s="6" t="inlineStr">
        <is>
          <t>設備認領要求持有證明</t>
        </is>
      </c>
      <c r="C56" s="6" t="inlineStr">
        <is>
          <t>等 P0-06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P1-10</t>
        </is>
      </c>
      <c r="B57" s="6" t="inlineStr">
        <is>
          <t>管理操作審計記錄</t>
        </is>
      </c>
      <c r="C57" s="6" t="inlineStr">
        <is>
          <t>等 P0-12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R-05</t>
        </is>
      </c>
      <c r="B58" s="6" t="inlineStr">
        <is>
          <t>內測版外殼（3D 打印 20 台）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R-06</t>
        </is>
      </c>
      <c r="B59" s="6" t="inlineStr">
        <is>
          <t>家長自助上手流程</t>
        </is>
      </c>
      <c r="C59" s="6" t="inlineStr">
        <is>
          <t>等 P0-11</t>
        </is>
      </c>
      <c r="D59" s="11" t="n"/>
      <c r="E59" s="11" t="n"/>
      <c r="F59" s="11" t="n"/>
      <c r="G59" s="11" t="n"/>
      <c r="H59" s="11" t="n"/>
      <c r="I59" s="12" t="n"/>
    </row>
    <row r="60" ht="46" customHeight="1">
      <c r="A60" s="13" t="inlineStr">
        <is>
          <t>R-13</t>
        </is>
      </c>
      <c r="B60" s="6" t="inlineStr">
        <is>
          <t>CP1 內測就緒檢查（10/30）</t>
        </is>
      </c>
      <c r="C60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P0-14</t>
        </is>
      </c>
      <c r="B61" s="6" t="inlineStr">
        <is>
          <t>韌體簽章、Secure Boot 與 Flash 加密</t>
        </is>
      </c>
      <c r="C61" s="6" t="inlineStr">
        <is>
          <t>等 P0-13、R-01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P1-06</t>
        </is>
      </c>
      <c r="B62" s="6" t="inlineStr">
        <is>
          <t>處理 GPL-3.0 依賴（arduino-audio-tools）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P1-07</t>
        </is>
      </c>
      <c r="B63" s="6" t="inlineStr">
        <is>
          <t>LGPL 合規與第三方授權聲明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P1-08</t>
        </is>
      </c>
      <c r="B64" s="6" t="inlineStr">
        <is>
          <t>硬件認證</t>
        </is>
      </c>
      <c r="C64" s="6" t="inlineStr">
        <is>
          <t>等 R-01、R-05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R-07</t>
        </is>
      </c>
      <c r="B65" s="6" t="inlineStr">
        <is>
          <t>20 個家庭封閉內測</t>
        </is>
      </c>
      <c r="C65" s="6" t="inlineStr">
        <is>
          <t>等 R-13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R-08</t>
        </is>
      </c>
      <c r="B66" s="6" t="inlineStr">
        <is>
          <t>第 8 週關卡決策</t>
        </is>
      </c>
      <c r="C66" s="6" t="inlineStr">
        <is>
          <t>等 R-07、P2-09、P1-08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R-14</t>
        </is>
      </c>
      <c r="B67" s="6" t="inlineStr">
        <is>
          <t>離線兒歌與故事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P2-05</t>
        </is>
      </c>
      <c r="B68" s="6" t="inlineStr">
        <is>
          <t>拒絕未知設備並限制用量</t>
        </is>
      </c>
      <c r="C68" s="6" t="inlineStr">
        <is>
          <t>等 P0-08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R-09</t>
        </is>
      </c>
      <c r="B69" s="6" t="inlineStr">
        <is>
          <t>量產外殼（真空複模）</t>
        </is>
      </c>
      <c r="C69" s="6" t="inlineStr">
        <is>
          <t>等 R-08、R-05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R-10</t>
        </is>
      </c>
      <c r="B70" s="6" t="inlineStr">
        <is>
          <t>出廠流程</t>
        </is>
      </c>
      <c r="C70" s="6" t="inlineStr">
        <is>
          <t>等 P0-06、P0-14、R-01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R-15</t>
        </is>
      </c>
      <c r="B71" s="6" t="inlineStr">
        <is>
          <t>農曆新年前交付（生產 1/15、送達 1/29）</t>
        </is>
      </c>
      <c r="C71" s="6" t="inlineStr">
        <is>
          <t>等 R-09、R-10</t>
        </is>
      </c>
      <c r="D71" s="11" t="n"/>
      <c r="E71" s="11" t="n"/>
      <c r="F71" s="11" t="n"/>
      <c r="G71" s="11" t="n"/>
      <c r="H71" s="11" t="n"/>
      <c r="I71" s="12" t="n"/>
    </row>
    <row r="73">
      <c r="A73" s="10" t="inlineStr">
        <is>
          <t>❓ 待確認問題</t>
        </is>
      </c>
    </row>
    <row r="74">
      <c r="A74" s="4" t="inlineStr">
        <is>
          <t>編號</t>
        </is>
      </c>
      <c r="B74" s="4" t="inlineStr">
        <is>
          <t>問題</t>
        </is>
      </c>
      <c r="C74" s="4" t="inlineStr">
        <is>
          <t>影響的任務 / 為什麼重要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Q3</t>
        </is>
      </c>
      <c r="B75" s="6" t="inlineStr">
        <is>
          <t>韌體打算閉源商業銷售嗎？</t>
        </is>
      </c>
      <c r="C75" s="6" t="inlineStr">
        <is>
          <t>P1-06, P1-07：決定 GPL／LGPL 依賴要開源還是替換。</t>
        </is>
      </c>
      <c r="D75" s="11" t="n"/>
      <c r="E75" s="11" t="n"/>
      <c r="F75" s="11" t="n"/>
      <c r="G75" s="11" t="n"/>
      <c r="H75" s="11" t="n"/>
      <c r="I75" s="12" t="n"/>
    </row>
    <row r="77">
      <c r="A77" s="10" t="inlineStr">
        <is>
          <t>說明</t>
        </is>
      </c>
    </row>
    <row r="78" ht="32" customHeight="1">
      <c r="A78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9" ht="18" customHeight="1">
      <c r="A79" s="14" t="inlineStr">
        <is>
          <t>・測試結果：未測試 / 通過 / 失敗 / 部分通過。測試證據寫跑了什麼、看到什麼，完整歷史在「更新記錄」。</t>
        </is>
      </c>
    </row>
    <row r="80" ht="18" customHeight="1">
      <c r="A80" s="14" t="inlineStr">
        <is>
          <t>・「接下來」按階段排序，同一階段內再按優先級；依賴還沒滿足的任務不會出現在「接下來」。</t>
        </is>
      </c>
    </row>
    <row r="81" ht="18" customHeight="1">
      <c r="A81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2" ht="32" customHeight="1">
      <c r="A82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3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E28:I28"/>
    <mergeCell ref="C62:I62"/>
    <mergeCell ref="C68:I68"/>
    <mergeCell ref="E31:I31"/>
    <mergeCell ref="E40:I40"/>
    <mergeCell ref="C58:I58"/>
    <mergeCell ref="E30:I30"/>
    <mergeCell ref="A81:I81"/>
    <mergeCell ref="E34:I34"/>
    <mergeCell ref="A19:I19"/>
    <mergeCell ref="C74:I74"/>
    <mergeCell ref="C64:I64"/>
    <mergeCell ref="E46:I46"/>
    <mergeCell ref="A44:I44"/>
    <mergeCell ref="E49:I49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A82:I82"/>
    <mergeCell ref="C75:I75"/>
    <mergeCell ref="A73:I73"/>
    <mergeCell ref="A51:I51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682f3b4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</sheetData>
  <autoFilter ref="A1:P57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</sheetData>
  <autoFilter ref="A1:I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2026-10-08T10:02:14Z</dcterms:modified>
</cp:coreProperties>
</file>