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'任務清單'!$A$1:$P$96</definedName>
    <definedName name="_xlnm._FilterDatabase" localSheetId="2" hidden="1">'待確認問題'!$A$1:$G$14</definedName>
    <definedName name="_xlnm._FilterDatabase" localSheetId="3" hidden="1">'更新記錄'!$A$1:$I$309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09:50　·　本頁由 tracker.py 自動生成，請勿手動編輯</t>
        </is>
      </c>
    </row>
    <row r="3">
      <c r="A3" s="3" t="inlineStr">
        <is>
          <t>總進度：25/91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23</v>
      </c>
      <c r="D8" s="7">
        <f>COUNTIFS('任務清單'!$B:$B,$A8,'任務清單'!$F:$F,D$5)</f>
        <v>8</v>
      </c>
      <c r="E8" s="7">
        <f>COUNTIFS('任務清單'!$B:$B,$A8,'任務清單'!$F:$F,E$5)</f>
        <v>5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0.43478260869565216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95</v>
      </c>
      <c r="D10" s="5">
        <f>SUM(D6:D9)</f>
        <v>46</v>
      </c>
      <c r="E10" s="5">
        <f>SUM(E6:E9)</f>
        <v>15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0.27472527472527475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7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0.30303030303030304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95</v>
      </c>
      <c r="D17" s="5">
        <f>SUM(D13:D16)</f>
        <v>46</v>
      </c>
      <c r="E17" s="5">
        <f>SUM(E13:E16)</f>
        <v>15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0.27472527472527475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256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409" customHeight="1">
      <c r="A34" s="13" t="inlineStr">
        <is>
          <t>P2-22</t>
        </is>
      </c>
      <c r="B34" s="6" t="inlineStr">
        <is>
          <t>改服務器網址也不失聯：語音網址由後端下發、後端網址可遷移、已確認韌體長期連不上時自救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4" s="11" t="n"/>
      <c r="G34" s="11" t="n"/>
      <c r="H34" s="11" t="n"/>
      <c r="I34" s="12" t="n"/>
    </row>
    <row r="35" ht="242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46" customHeight="1">
      <c r="A40" s="13" t="inlineStr">
        <is>
          <t>R-04</t>
        </is>
      </c>
      <c r="B40" s="6" t="inlineStr">
        <is>
          <t>粵語質量評測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0" s="11" t="n"/>
      <c r="G40" s="11" t="n"/>
      <c r="H40" s="11" t="n"/>
      <c r="I40" s="12" t="n"/>
    </row>
    <row r="41" ht="116" customHeight="1">
      <c r="A41" s="13" t="inlineStr">
        <is>
          <t>R-25</t>
        </is>
      </c>
      <c r="B41" s="6" t="inlineStr">
        <is>
          <t>網頁的品牌主題系統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P2-21</t>
        </is>
      </c>
      <c r="B45" s="6" t="inlineStr">
        <is>
          <t>P2-16 ⑤ 後台 OTA 頁換成真實數據與操作</t>
        </is>
      </c>
      <c r="C45" s="13" t="inlineStr">
        <is>
          <t>通過</t>
        </is>
      </c>
      <c r="D45" s="13" t="inlineStr">
        <is>
          <t>2026-10-15</t>
        </is>
      </c>
      <c r="E45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P2-16</t>
        </is>
      </c>
      <c r="B46" s="6" t="inlineStr">
        <is>
          <t>OTA 分批推送與後台發佈頁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6" s="11" t="n"/>
      <c r="G46" s="11" t="n"/>
      <c r="H46" s="11" t="n"/>
      <c r="I46" s="12" t="n"/>
    </row>
    <row r="47" ht="144" customHeight="1">
      <c r="A47" s="13" t="inlineStr">
        <is>
          <t>P2-14</t>
        </is>
      </c>
      <c r="B47" s="6" t="inlineStr">
        <is>
          <t>Admin 設備頁：每台玩具的狀態、韌體與基本操作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98:I98"/>
    <mergeCell ref="C56:I56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</sheetData>
  <autoFilter ref="A1:P9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</sheetData>
  <autoFilter ref="A1:I3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2026-10-15T01:50:20Z</dcterms:modified>
</cp:coreProperties>
</file>