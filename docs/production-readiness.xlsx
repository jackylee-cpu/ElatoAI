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任務清單" sheetId="2" state="visible" r:id="rId2"/>
    <sheet xmlns:r="http://schemas.openxmlformats.org/officeDocument/2006/relationships" name="待確認問題" sheetId="3" state="visible" r:id="rId3"/>
    <sheet xmlns:r="http://schemas.openxmlformats.org/officeDocument/2006/relationships" name="更新記錄" sheetId="4" state="visible" r:id="rId4"/>
  </sheets>
  <definedNames>
    <definedName name="_xlnm._FilterDatabase" localSheetId="1" hidden="1">'任務清單'!$A$1:$P$98</definedName>
    <definedName name="_xlnm._FilterDatabase" localSheetId="2" hidden="1">'待確認問題'!$A$1:$G$14</definedName>
    <definedName name="_xlnm._FilterDatabase" localSheetId="3" hidden="1">'更新記錄'!$A$1:$I$321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6"/>
    </font>
    <font>
      <name val="Arial"/>
      <color rgb="007F7F7F"/>
      <sz val="9"/>
    </font>
    <font>
      <name val="Arial"/>
      <b val="1"/>
      <sz val="11"/>
    </font>
    <font>
      <name val="Arial"/>
      <b val="1"/>
      <sz val="10"/>
    </font>
    <font>
      <name val="Arial"/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7F7F7F"/>
      </font>
      <fill>
        <patternFill patternType="solid">
          <fgColor rgb="00EDEDED"/>
          <bgColor rgb="00EDEDED"/>
        </patternFill>
      </fill>
    </dxf>
    <dxf>
      <font>
        <name val="Arial"/>
        <b val="1"/>
        <color rgb="00C00000"/>
      </font>
    </dxf>
    <dxf>
      <font>
        <name val="Arial"/>
        <b val="1"/>
        <color rgb="00C65911"/>
      </font>
    </dxf>
    <dxf>
      <font>
        <name val="Arial"/>
        <b val="1"/>
        <color rgb="002F5597"/>
      </font>
    </dxf>
    <dxf>
      <font>
        <name val="Arial"/>
        <b val="1"/>
        <color rgb="007030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0" tabSelected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</cols>
  <sheetData>
    <row r="1" ht="26" customHeight="1">
      <c r="A1" s="1" t="inlineStr">
        <is>
          <t>aibuddy 生產就緒追蹤</t>
        </is>
      </c>
    </row>
    <row r="2">
      <c r="A2" s="2" t="inlineStr">
        <is>
          <t>最後更新：2026-10-15 10:42　·　本頁由 tracker.py 自動生成，請勿手動編輯</t>
        </is>
      </c>
    </row>
    <row r="3">
      <c r="A3" s="3" t="inlineStr">
        <is>
          <t>總進度：25/93 已完成（27%）　·　目前階段：1 止血定案（10/5–10/16）</t>
        </is>
      </c>
    </row>
    <row r="5">
      <c r="A5" s="4" t="inlineStr">
        <is>
          <t>優先級</t>
        </is>
      </c>
      <c r="B5" s="4" t="inlineStr">
        <is>
          <t>說明</t>
        </is>
      </c>
      <c r="C5" s="4" t="inlineStr">
        <is>
          <t>總數</t>
        </is>
      </c>
      <c r="D5" s="4" t="inlineStr">
        <is>
          <t>未開始</t>
        </is>
      </c>
      <c r="E5" s="4" t="inlineStr">
        <is>
          <t>進行中</t>
        </is>
      </c>
      <c r="F5" s="4" t="inlineStr">
        <is>
          <t>已完成</t>
        </is>
      </c>
      <c r="G5" s="4" t="inlineStr">
        <is>
          <t>阻塞</t>
        </is>
      </c>
      <c r="H5" s="4" t="inlineStr">
        <is>
          <t>不適用</t>
        </is>
      </c>
      <c r="I5" s="4" t="inlineStr">
        <is>
          <t>完成率</t>
        </is>
      </c>
    </row>
    <row r="6" ht="18" customHeight="1">
      <c r="A6" s="5" t="inlineStr">
        <is>
          <t>P0</t>
        </is>
      </c>
      <c r="B6" s="6" t="inlineStr">
        <is>
          <t>安全：真實用戶使用前必須完成</t>
        </is>
      </c>
      <c r="C6" s="7">
        <f>COUNTIF('任務清單'!$B:$B,$A6)</f>
        <v>17</v>
      </c>
      <c r="D6" s="7">
        <f>COUNTIFS('任務清單'!$B:$B,$A6,'任務清單'!$F:$F,D$5)</f>
        <v>1</v>
      </c>
      <c r="E6" s="7">
        <f>COUNTIFS('任務清單'!$B:$B,$A6,'任務清單'!$F:$F,E$5)</f>
        <v>2</v>
      </c>
      <c r="F6" s="7">
        <f>COUNTIFS('任務清單'!$B:$B,$A6,'任務清單'!$F:$F,F$5)</f>
        <v>13</v>
      </c>
      <c r="G6" s="7">
        <f>COUNTIFS('任務清單'!$B:$B,$A6,'任務清單'!$F:$F,G$5)</f>
        <v>0</v>
      </c>
      <c r="H6" s="7">
        <f>COUNTIFS('任務清單'!$B:$B,$A6,'任務清單'!$F:$F,H$5)</f>
        <v>1</v>
      </c>
      <c r="I6" s="8">
        <f>IFERROR(F6/(C6-H6),0)</f>
        <v>0.8125</v>
      </c>
    </row>
    <row r="7" ht="18" customHeight="1">
      <c r="A7" s="5" t="inlineStr">
        <is>
          <t>P1</t>
        </is>
      </c>
      <c r="B7" s="6" t="inlineStr">
        <is>
          <t>兒童安全與合規：上市前必須完成</t>
        </is>
      </c>
      <c r="C7" s="7">
        <f>COUNTIF('任務清單'!$B:$B,$A7)</f>
        <v>14</v>
      </c>
      <c r="D7" s="7">
        <f>COUNTIFS('任務清單'!$B:$B,$A7,'任務清單'!$F:$F,D$5)</f>
        <v>8</v>
      </c>
      <c r="E7" s="7">
        <f>COUNTIFS('任務清單'!$B:$B,$A7,'任務清單'!$F:$F,E$5)</f>
        <v>3</v>
      </c>
      <c r="F7" s="7">
        <f>COUNTIFS('任務清單'!$B:$B,$A7,'任務清單'!$F:$F,F$5)</f>
        <v>0</v>
      </c>
      <c r="G7" s="7">
        <f>COUNTIFS('任務清單'!$B:$B,$A7,'任務清單'!$F:$F,G$5)</f>
        <v>2</v>
      </c>
      <c r="H7" s="7">
        <f>COUNTIFS('任務清單'!$B:$B,$A7,'任務清單'!$F:$F,H$5)</f>
        <v>1</v>
      </c>
      <c r="I7" s="8">
        <f>IFERROR(F7/(C7-H7),0)</f>
        <v>0.0</v>
      </c>
    </row>
    <row r="8" ht="18" customHeight="1">
      <c r="A8" s="5" t="inlineStr">
        <is>
          <t>P2</t>
        </is>
      </c>
      <c r="B8" s="6" t="inlineStr">
        <is>
          <t>工程與運維：規模化前完成</t>
        </is>
      </c>
      <c r="C8" s="7">
        <f>COUNTIF('任務清單'!$B:$B,$A8)</f>
        <v>25</v>
      </c>
      <c r="D8" s="7">
        <f>COUNTIFS('任務清單'!$B:$B,$A8,'任務清單'!$F:$F,D$5)</f>
        <v>9</v>
      </c>
      <c r="E8" s="7">
        <f>COUNTIFS('任務清單'!$B:$B,$A8,'任務清單'!$F:$F,E$5)</f>
        <v>6</v>
      </c>
      <c r="F8" s="7">
        <f>COUNTIFS('任務清單'!$B:$B,$A8,'任務清單'!$F:$F,F$5)</f>
        <v>10</v>
      </c>
      <c r="G8" s="7">
        <f>COUNTIFS('任務清單'!$B:$B,$A8,'任務清單'!$F:$F,G$5)</f>
        <v>0</v>
      </c>
      <c r="H8" s="7">
        <f>COUNTIFS('任務清單'!$B:$B,$A8,'任務清單'!$F:$F,H$5)</f>
        <v>0</v>
      </c>
      <c r="I8" s="8">
        <f>IFERROR(F8/(C8-H8),0)</f>
        <v>0.4</v>
      </c>
    </row>
    <row r="9" ht="32" customHeight="1">
      <c r="A9" s="5" t="inlineStr">
        <is>
          <t>R</t>
        </is>
      </c>
      <c r="B9" s="6" t="inlineStr">
        <is>
          <t>產品與上市：1/15 出廠 3,000 隻（馬會 2,500、政協青年聯會 500）＋AI Buddy 數量未定</t>
        </is>
      </c>
      <c r="C9" s="7">
        <f>COUNTIF('任務清單'!$B:$B,$A9)</f>
        <v>41</v>
      </c>
      <c r="D9" s="7">
        <f>COUNTIFS('任務清單'!$B:$B,$A9,'任務清單'!$F:$F,D$5)</f>
        <v>29</v>
      </c>
      <c r="E9" s="7">
        <f>COUNTIFS('任務清單'!$B:$B,$A9,'任務清單'!$F:$F,E$5)</f>
        <v>5</v>
      </c>
      <c r="F9" s="7">
        <f>COUNTIFS('任務清單'!$B:$B,$A9,'任務清單'!$F:$F,F$5)</f>
        <v>2</v>
      </c>
      <c r="G9" s="7">
        <f>COUNTIFS('任務清單'!$B:$B,$A9,'任務清單'!$F:$F,G$5)</f>
        <v>3</v>
      </c>
      <c r="H9" s="7">
        <f>COUNTIFS('任務清單'!$B:$B,$A9,'任務清單'!$F:$F,H$5)</f>
        <v>2</v>
      </c>
      <c r="I9" s="8">
        <f>IFERROR(F9/(C9-H9),0)</f>
        <v>0.05128205128205128</v>
      </c>
    </row>
    <row r="10">
      <c r="A10" s="5" t="inlineStr">
        <is>
          <t>合計</t>
        </is>
      </c>
      <c r="B10" s="6" t="n"/>
      <c r="C10" s="5">
        <f>SUM(C6:C9)</f>
        <v>97</v>
      </c>
      <c r="D10" s="5">
        <f>SUM(D6:D9)</f>
        <v>47</v>
      </c>
      <c r="E10" s="5">
        <f>SUM(E6:E9)</f>
        <v>16</v>
      </c>
      <c r="F10" s="5">
        <f>SUM(F6:F9)</f>
        <v>25</v>
      </c>
      <c r="G10" s="5">
        <f>SUM(G6:G9)</f>
        <v>5</v>
      </c>
      <c r="H10" s="5">
        <f>SUM(H6:H9)</f>
        <v>4</v>
      </c>
      <c r="I10" s="9">
        <f>IFERROR(F10/(C10-H10),0)</f>
        <v>0.26881720430107525</v>
      </c>
    </row>
    <row r="12">
      <c r="A12" s="4" t="inlineStr">
        <is>
          <t>階段</t>
        </is>
      </c>
      <c r="B12" s="4" t="inlineStr">
        <is>
          <t>說明</t>
        </is>
      </c>
      <c r="C12" s="4" t="inlineStr">
        <is>
          <t>總數</t>
        </is>
      </c>
      <c r="D12" s="4" t="inlineStr">
        <is>
          <t>未開始</t>
        </is>
      </c>
      <c r="E12" s="4" t="inlineStr">
        <is>
          <t>進行中</t>
        </is>
      </c>
      <c r="F12" s="4" t="inlineStr">
        <is>
          <t>已完成</t>
        </is>
      </c>
      <c r="G12" s="4" t="inlineStr">
        <is>
          <t>阻塞</t>
        </is>
      </c>
      <c r="H12" s="4" t="inlineStr">
        <is>
          <t>不適用</t>
        </is>
      </c>
      <c r="I12" s="4" t="inlineStr">
        <is>
          <t>完成率</t>
        </is>
      </c>
    </row>
    <row r="13" ht="32" customHeight="1">
      <c r="A13" s="5" t="inlineStr">
        <is>
          <t>1 止血定案</t>
        </is>
      </c>
      <c r="B13" s="6" t="inlineStr">
        <is>
          <t>10/5–10/16：安全修復、選板（10/16 定案）、角色收窄</t>
        </is>
      </c>
      <c r="C13" s="7">
        <f>COUNTIF('任務清單'!$C:$C,$A13)</f>
        <v>23</v>
      </c>
      <c r="D13" s="7">
        <f>COUNTIFS('任務清單'!$C:$C,$A13,'任務清單'!$F:$F,D$12)</f>
        <v>1</v>
      </c>
      <c r="E13" s="7">
        <f>COUNTIFS('任務清單'!$C:$C,$A13,'任務清單'!$F:$F,E$12)</f>
        <v>5</v>
      </c>
      <c r="F13" s="7">
        <f>COUNTIFS('任務清單'!$C:$C,$A13,'任務清單'!$F:$F,F$12)</f>
        <v>15</v>
      </c>
      <c r="G13" s="7">
        <f>COUNTIFS('任務清單'!$C:$C,$A13,'任務清單'!$F:$F,G$12)</f>
        <v>1</v>
      </c>
      <c r="H13" s="7">
        <f>COUNTIFS('任務清單'!$C:$C,$A13,'任務清單'!$F:$F,H$12)</f>
        <v>1</v>
      </c>
      <c r="I13" s="8">
        <f>IFERROR(F13/(C13-H13),0)</f>
        <v>0.6818181818181818</v>
      </c>
    </row>
    <row r="14" ht="32" customHeight="1">
      <c r="A14" s="5" t="inlineStr">
        <is>
          <t>2 內測準備</t>
        </is>
      </c>
      <c r="B14" s="6" t="inlineStr">
        <is>
          <t>10/19–10/30：粵語評測、內容審核、OTA、外殼、上手流程；10/30 CP1 內測就緒檢查</t>
        </is>
      </c>
      <c r="C14" s="7">
        <f>COUNTIF('任務清單'!$C:$C,$A14)</f>
        <v>37</v>
      </c>
      <c r="D14" s="7">
        <f>COUNTIFS('任務清單'!$C:$C,$A14,'任務清單'!$F:$F,D$12)</f>
        <v>15</v>
      </c>
      <c r="E14" s="7">
        <f>COUNTIFS('任務清單'!$C:$C,$A14,'任務清單'!$F:$F,E$12)</f>
        <v>8</v>
      </c>
      <c r="F14" s="7">
        <f>COUNTIFS('任務清單'!$C:$C,$A14,'任務清單'!$F:$F,F$12)</f>
        <v>10</v>
      </c>
      <c r="G14" s="7">
        <f>COUNTIFS('任務清單'!$C:$C,$A14,'任務清單'!$F:$F,G$12)</f>
        <v>2</v>
      </c>
      <c r="H14" s="7">
        <f>COUNTIFS('任務清單'!$C:$C,$A14,'任務清單'!$F:$F,H$12)</f>
        <v>2</v>
      </c>
      <c r="I14" s="8">
        <f>IFERROR(F14/(C14-H14),0)</f>
        <v>0.2857142857142857</v>
      </c>
    </row>
    <row r="15" ht="46" customHeight="1">
      <c r="A15" s="5" t="inlineStr">
        <is>
          <t>3 封閉內測</t>
        </is>
      </c>
      <c r="B15" s="6" t="inlineStr">
        <is>
          <t>11/2–11/27：內部測試（10/12 起取代 20 個家庭內測），並行送測認證與合規；11/27 CP2 定品牌 C 數量（R-08）</t>
        </is>
      </c>
      <c r="C15" s="7">
        <f>COUNTIF('任務清單'!$C:$C,$A15)</f>
        <v>29</v>
      </c>
      <c r="D15" s="7">
        <f>COUNTIFS('任務清單'!$C:$C,$A15,'任務清單'!$F:$F,D$12)</f>
        <v>23</v>
      </c>
      <c r="E15" s="7">
        <f>COUNTIFS('任務清單'!$C:$C,$A15,'任務清單'!$F:$F,E$12)</f>
        <v>3</v>
      </c>
      <c r="F15" s="7">
        <f>COUNTIFS('任務清單'!$C:$C,$A15,'任務清單'!$F:$F,F$12)</f>
        <v>0</v>
      </c>
      <c r="G15" s="7">
        <f>COUNTIFS('任務清單'!$C:$C,$A15,'任務清單'!$F:$F,G$12)</f>
        <v>2</v>
      </c>
      <c r="H15" s="7">
        <f>COUNTIFS('任務清單'!$C:$C,$A15,'任務清單'!$F:$F,H$12)</f>
        <v>1</v>
      </c>
      <c r="I15" s="8">
        <f>IFERROR(F15/(C15-H15),0)</f>
        <v>0.0</v>
      </c>
    </row>
    <row r="16" ht="60" customHeight="1">
      <c r="A16" s="5" t="inlineStr">
        <is>
          <t>4 量產出貨</t>
        </is>
      </c>
      <c r="B16" s="6" t="inlineStr">
        <is>
          <t>11/30–1/15：量產板到廠、試產 12/7、大貨 12/14–12/31、出廠流程、壓測、售後；1/15 出廠、1/29 送達。每週計劃見 docs/roadmap.md</t>
        </is>
      </c>
      <c r="C16" s="7">
        <f>COUNTIF('任務清單'!$C:$C,$A16)</f>
        <v>8</v>
      </c>
      <c r="D16" s="7">
        <f>COUNTIFS('任務清單'!$C:$C,$A16,'任務清單'!$F:$F,D$12)</f>
        <v>8</v>
      </c>
      <c r="E16" s="7">
        <f>COUNTIFS('任務清單'!$C:$C,$A16,'任務清單'!$F:$F,E$12)</f>
        <v>0</v>
      </c>
      <c r="F16" s="7">
        <f>COUNTIFS('任務清單'!$C:$C,$A16,'任務清單'!$F:$F,F$12)</f>
        <v>0</v>
      </c>
      <c r="G16" s="7">
        <f>COUNTIFS('任務清單'!$C:$C,$A16,'任務清單'!$F:$F,G$12)</f>
        <v>0</v>
      </c>
      <c r="H16" s="7">
        <f>COUNTIFS('任務清單'!$C:$C,$A16,'任務清單'!$F:$F,H$12)</f>
        <v>0</v>
      </c>
      <c r="I16" s="8">
        <f>IFERROR(F16/(C16-H16),0)</f>
        <v>0.0</v>
      </c>
    </row>
    <row r="17">
      <c r="A17" s="5" t="inlineStr">
        <is>
          <t>合計</t>
        </is>
      </c>
      <c r="B17" s="6" t="n"/>
      <c r="C17" s="5">
        <f>SUM(C13:C16)</f>
        <v>97</v>
      </c>
      <c r="D17" s="5">
        <f>SUM(D13:D16)</f>
        <v>47</v>
      </c>
      <c r="E17" s="5">
        <f>SUM(E13:E16)</f>
        <v>16</v>
      </c>
      <c r="F17" s="5">
        <f>SUM(F13:F16)</f>
        <v>25</v>
      </c>
      <c r="G17" s="5">
        <f>SUM(G13:G16)</f>
        <v>5</v>
      </c>
      <c r="H17" s="5">
        <f>SUM(H13:H16)</f>
        <v>4</v>
      </c>
      <c r="I17" s="9">
        <f>IFERROR(F17/(C17-H17),0)</f>
        <v>0.26881720430107525</v>
      </c>
    </row>
    <row r="19">
      <c r="A19" s="10" t="inlineStr">
        <is>
          <t>⏭ 接下來做什麼</t>
        </is>
      </c>
    </row>
    <row r="20">
      <c r="A20" s="4" t="inlineStr">
        <is>
          <t>編號</t>
        </is>
      </c>
      <c r="B20" s="4" t="inlineStr">
        <is>
          <t>任務</t>
        </is>
      </c>
      <c r="C20" s="4" t="inlineStr">
        <is>
          <t>階段</t>
        </is>
      </c>
      <c r="D20" s="4" t="inlineStr">
        <is>
          <t>狀態</t>
        </is>
      </c>
      <c r="E20" s="4" t="inlineStr">
        <is>
          <t>驗收標準 / 上次測試</t>
        </is>
      </c>
      <c r="F20" s="11" t="n"/>
      <c r="G20" s="11" t="n"/>
      <c r="H20" s="11" t="n"/>
      <c r="I20" s="12" t="n"/>
    </row>
    <row r="21" ht="172" customHeight="1">
      <c r="A21" s="13" t="inlineStr">
        <is>
          <t>P0-07</t>
        </is>
      </c>
      <c r="B21" s="6" t="inlineStr">
        <is>
          <t>輪換 JWT secret，作廢已發出的 token</t>
        </is>
      </c>
      <c r="C21" s="13" t="inlineStr">
        <is>
          <t>1 止血定案</t>
        </is>
      </c>
      <c r="D21" s="13" t="inlineStr">
        <is>
          <t>進行中</t>
        </is>
      </c>
      <c r="E21" s="6" t="inlineStr">
        <is>
          <t>① 生產自架 Supabase 換上新的 JWT secret（app.settings.jwt_secret 一併更新），重發 anon／service_role key，更新到 Supabase 各容器、網頁（anon key 要重新建置 image）和語音伺服器。② 用舊 secret 簽的東西全部失效：舊 anon key、舊 service_role key、舊 secret 簽的無過期用戶 JWT（P0-06 前 MAC 換到的那種）。③ DEVICE_JWT_SECRET 同時輪換；設備不用重新配對（P0-06 之後設備靠 NVS 裡的設備密鑰自動換新 token）。④ 沒有任何運行中的容器還持有舊值；用到 service key 的其他地方（例如 Mac 上的 release_firmware.py）已改用新 key。⑤ 有回滾方法。</t>
        </is>
      </c>
      <c r="F21" s="11" t="n"/>
      <c r="G21" s="11" t="n"/>
      <c r="H21" s="11" t="n"/>
      <c r="I21" s="12" t="n"/>
    </row>
    <row r="22" ht="382" customHeight="1">
      <c r="A22" s="13" t="inlineStr">
        <is>
          <t>P0-11</t>
        </is>
      </c>
      <c r="B22" s="6" t="inlineStr">
        <is>
          <t>設備認領要求持有證明</t>
        </is>
      </c>
      <c r="C22" s="13" t="inlineStr">
        <is>
          <t>1 止血定案</t>
        </is>
      </c>
      <c r="D22" s="13" t="inlineStr">
        <is>
          <t>進行中</t>
        </is>
      </c>
      <c r="E22" s="6" t="inlineStr">
        <is>
          <t>上次測試：部分通過 — 本機（分支 p0-11-bind-ticket da3709b，localhost:3015 + 本機 Supabase，測試腳本 22/22）：① 只帶 MAC → 401、密鑰 + user_code 當票 → 403 且設備仍無主 ② 票用過（另一台）／過期／本庫沒發過的票（他品牌）→ 403 ③ B 的票交給 A 的設備 → 409 device_owned，A 綁定不變、B 的票未作廢 ④ 有效票但無設備密鑰 → 401、票未作廢 ⑤ 密鑰 + 有效票 → 200 token，user_id 和 claimed_at 寫入；同一台重送同一張票 → 200 ⑥ DEVICE_CLAIM_LIST=False 時設定頁沒有未認領清單和配對碼欄，有未認領設備在線也看不到，12 秒內無輪詢；=True 時開發清單照舊可認領 ⑦ 同帳號並行 10 次取票 → 5×200、5×429，B 不受影響，滿一分鐘後恢復；表只存 SHA-256；authenticated 讀表／呼叫 RPC → 42501。未部署線上。
綁定票（用戶 2026-10-12 決定，經藍牙交付，見 R-21）：① 已登入的 App 向伺服器取綁定票：一次性、5 分鐘有效，綁定該帳號和品牌。② 設備連上 Wi-Fi 後，用設備密鑰加綁定票呼叫伺服器；伺服器在同一個交易裡檢查票有效、設備 user_id 為空、品牌相符，然後寫入 user_id 和 claimed_at，並把票作廢。③ 不再列出全球未認領設備，也不再用手動輸入的配對碼認領（舊流程只在開發模式保留）。④ 已有主人的設備不能被認領：原主在 App 內解綁，聯絡不到原主就由管理員在後台解綁（R-11）。⑤ 第一版一台設備只屬一個帳號。⑥ 取票有頻率上限（每帳號每分鐘 5 次）。</t>
        </is>
      </c>
      <c r="F22" s="11" t="n"/>
      <c r="G22" s="11" t="n"/>
      <c r="H22" s="11" t="n"/>
      <c r="I22" s="12" t="n"/>
    </row>
    <row r="23" ht="228" customHeight="1">
      <c r="A23" s="13" t="inlineStr">
        <is>
          <t>P2-10</t>
        </is>
      </c>
      <c r="B23" s="6" t="inlineStr">
        <is>
          <t>DeepSeek v4 flash 經 OpenRouter 時固定可用的供應商</t>
        </is>
      </c>
      <c r="C23" s="13" t="inlineStr">
        <is>
          <t>1 止血定案</t>
        </is>
      </c>
      <c r="D23" s="13" t="inlineStr">
        <is>
          <t>進行中</t>
        </is>
      </c>
      <c r="E23" s="6" t="inlineStr">
        <is>
          <t>上次測試：部分通過 — ① 16 家供應商各 20 次真實 session prompt（含開場白，串流，order=[x]+allow_fallbacks=false）：建議清單 azure/alibaba/novita/siliconflow/gmicloud 各 20/20，0 空內容 0 特殊 token，首字 p50 1.25/2.33/2.59/2.56/3.25s；只設 order 時 order=[deepinfra] 實際由 Relace 回應（回過 content=None）→ 已改為 allow_fallbacks=false。伺服器端 LLMOutputGuard：pytest 8 項（尾部/跨 chunk 拆開的 token、空回應記警告）全套 203 passed；真實 LLM 串流經 guard 6 角色 12/12 正常、無誤觸發。② 實機 5 次開場白未做
線上用 DeepSeek 時，provider_order 只列實測正常的供應商（例如 StreamLake、SiliconFlow、GMICloud、Novita），並開 reasoning；或線上改用 gemma-4-26b。伺服器遇到空回應或特殊 token 時不把它送去 TTS。</t>
        </is>
      </c>
      <c r="F23" s="11" t="n"/>
      <c r="G23" s="11" t="n"/>
      <c r="H23" s="11" t="n"/>
      <c r="I23" s="12" t="n"/>
    </row>
    <row r="24" ht="60" customHeight="1">
      <c r="A24" s="13" t="inlineStr">
        <is>
          <t>R-01</t>
        </is>
      </c>
      <c r="B24" s="6" t="inlineStr">
        <is>
          <t>選定量產板子</t>
        </is>
      </c>
      <c r="C24" s="13" t="inlineStr">
        <is>
          <t>1 止血定案</t>
        </is>
      </c>
      <c r="D24" s="13" t="inlineStr">
        <is>
          <t>進行中</t>
        </is>
      </c>
      <c r="E24" s="6" t="inlineStr">
        <is>
          <t>已定案 Spotpear AI Toy（用戶 10/07 決定）；評分表 ①–⑦ 在 Spotpear 上實測並記錄結果，沒有否決性問題（如 2 小時內 OOM 重啟、C3 無法啟用 Secure Boot v2＋Flash 加密、無認證模組）。</t>
        </is>
      </c>
      <c r="F24" s="11" t="n"/>
      <c r="G24" s="11" t="n"/>
      <c r="H24" s="11" t="n"/>
      <c r="I24" s="12" t="n"/>
    </row>
    <row r="25" ht="172" customHeight="1">
      <c r="A25" s="13" t="inlineStr">
        <is>
          <t>R-02</t>
        </is>
      </c>
      <c r="B25" s="6" t="inlineStr">
        <is>
          <t>角色收窄到 5–8 個粵語陪伴角色</t>
        </is>
      </c>
      <c r="C25" s="13" t="inlineStr">
        <is>
          <t>1 止血定案</t>
        </is>
      </c>
      <c r="D25" s="13" t="inlineStr">
        <is>
          <t>進行中</t>
        </is>
      </c>
      <c r="E25" s="6" t="inlineStr">
        <is>
          <t>上次測試：通過 — 用戶已確認角色陣容。本地 DB：① 未隱藏內建角色只剩 hk_ 6 個 ② localhost:3100 Children 頁只見 6 個、Story 頁只見叮叮兔/咪咪貓 ③ 每角色 10 句粵語，prompt 用伺服器同一套組裝、開場白按 pipecat 以 user 角色送出：gemma-4-26b 65/66 合格（1 句 4 句/2 問）；DeepSeek v4 flash 預設 reasoning 61/66（超標都只多 1–2 句）；全部無簡體、恐怖、拼字
只保留 5–8 個自己設計的粵語陪伴角色，其餘設為 is_hidden；每個角色按 3–6 歲設計：句子短、用詞簡單、一次只問一個問題，不講恐怖、暴力或需要識字的內容。</t>
        </is>
      </c>
      <c r="F25" s="11" t="n"/>
      <c r="G25" s="11" t="n"/>
      <c r="H25" s="11" t="n"/>
      <c r="I25" s="12" t="n"/>
    </row>
    <row r="26" ht="172" customHeight="1">
      <c r="A26" s="13" t="inlineStr">
        <is>
          <t>P1-02</t>
        </is>
      </c>
      <c r="B26" s="6" t="inlineStr">
        <is>
          <t>日誌移除兒童個人資料</t>
        </is>
      </c>
      <c r="C26" s="13" t="inlineStr">
        <is>
          <t>2 內測準備</t>
        </is>
      </c>
      <c r="D26" s="13" t="inlineStr">
        <is>
          <t>進行中</t>
        </is>
      </c>
      <c r="E26" s="6" t="inlineStr">
        <is>
          <t>上次測試：部分通過 — 本機（分支 p1-02-log-pii）：模擬板子跑 3 輪，孩子名 PROBE小明、性格『鍾意恐龍』、記憶『佢有隻狗叫PROBE豆豆』；把對話、回覆、事實切成 47 段搜日誌 → 預設 INFO 0 段；同一流程 LOG_LEVEL=DEBUG → 27 段（證明搜尋有效）。INFO 日誌也無 token。pytest 245 passed（新增 test_log_privacy 6 項：事實/摘要、PostgREST details、OpenRouter flagged_input、非 JSON 回覆、預設 INFO 與 traceback 無變量值）。未做：部署線上並在生產日誌重跑。
生產日誌只記 ID、長度、類別，不記內容；內容只在 DEBUG 等級輸出，生產不開 DEBUG。</t>
        </is>
      </c>
      <c r="F26" s="11" t="n"/>
      <c r="G26" s="11" t="n"/>
      <c r="H26" s="11" t="n"/>
      <c r="I26" s="12" t="n"/>
    </row>
    <row r="27" ht="242" customHeight="1">
      <c r="A27" s="13" t="inlineStr">
        <is>
          <t>P1-10</t>
        </is>
      </c>
      <c r="B27" s="6" t="inlineStr">
        <is>
          <t>管理操作審計記錄</t>
        </is>
      </c>
      <c r="C27" s="13" t="inlineStr">
        <is>
          <t>2 內測準備</t>
        </is>
      </c>
      <c r="D27" s="13" t="inlineStr">
        <is>
          <t>進行中</t>
        </is>
      </c>
      <c r="E27" s="6" t="inlineStr">
        <is>
          <t>上次測試：部分通過 — 本機（分支 p1-10-p2-09-audit-usage，migration 已套用到本機 Supabase）：探測腳本 22/22，用 GoTrue 真實登入、只把 42501 當拒絕。① 超管改角色 short_description → 1 筆 update、before/after 只有該欄、actor=該管理員；改 voice_stack → 1 筆含新舊值；不改內容再存 → 0 筆 ② 超管 JWT UPDATE/DELETE → 42501；service role DELETE → 42501；postgres DELETE/TRUNCATE 被觸發器拒絕；內容管理員、家長讀 → []；anon → 42501。網頁實測：IP 加一個活動提示 → 只記 1 筆 ip_modes insert，原樣再存 → 0 筆，清除 → 1 筆 delete；Accounts 建帳號 → account.create（不含密碼）；改匯率 → 1 筆。未做：部署線上。
每個管理操作寫一筆記錄：誰、什麼時間、什麼操作、對象、改之前與改之後的值；記錄只能新增，任何人（包括超級管理員）都不能修改或刪除；超級管理員能在管理端查看。</t>
        </is>
      </c>
      <c r="F27" s="11" t="n"/>
      <c r="G27" s="11" t="n"/>
      <c r="H27" s="11" t="n"/>
      <c r="I27" s="12" t="n"/>
    </row>
    <row r="28" ht="409" customHeight="1">
      <c r="A28" s="13" t="inlineStr">
        <is>
          <t>P1-12</t>
        </is>
      </c>
      <c r="B28" s="6" t="inlineStr">
        <is>
          <t>設備解綁時的記憶處理：確認、預設保留、可選清除</t>
        </is>
      </c>
      <c r="C28" s="13" t="inlineStr">
        <is>
          <t>2 內測準備</t>
        </is>
      </c>
      <c r="D28" s="13" t="inlineStr">
        <is>
          <t>進行中</t>
        </is>
      </c>
      <c r="E28" s="6" t="inlineStr">
        <is>
          <t>上次測試：部分通過 — 本機（開發板 DEV636 身份的模擬裝置 + 網頁）：TC1/2/5/6/7/8/10/11/13 通過；TC3 重綁後 log『Loaded 2 fact(s)』；TC4 第二台 starts cold、設定頁可切換；TC9 DB 層 B 解綁回 NULL、清除報錯，anon/authenticated 無 EXECUTE；TC10 舊代數寫入三表皆 HTTP 400、清除後 40 秒仍 0 行；TC12 伺服器端 4401 通過；pytest 214 passed。TC14（2026-10-12，rebase 到 main 後的 p1-12-rebased 8d4b9e2，本機 7861）：/ws/nextjs 以網頁 token 對話兩輪，波波熊有回應 → turn_metrics 0→3，memory_facts／memory_segments／conversations 皆 0→0；log 只有 NextJS websocket connected。真機 62:70（2026-10-12，localall 測試版 → 本機 7861/3014，p1-12-rebased）：按住 BOOT 對話 6 輪，conversations 記下『我隻狗叫豆豆…』；TC12：介面解綁（不勾清除）→ 16:06:51 即斷線，之後每次重連都在 auth 前被拒（device token refused），16:07:02 重新取 token 得 202 並顯示配對碼 UKDM7N；facts 1→1、conversations 14→14、segments 1→2（結束時的摘要）、revision 0。TC3：同帳號重綁 → log『Loaded 1 fact(s)』（有一隻3歲嘅狗叫豆豆）＋2 段摘要；真機問『我隻狗叫咩名』的回答未記錄（用戶決定直接部署）。發現：韌體拿到 202 後 websocket 仍每秒重連一次直到被認領，沒有真正停在配對狀態（不屬 P1-12 伺服器端，另開任務）。
① 按「解綁」先彈出確認對話框，取消則什麼都不改。② 對話框預設保留記憶；「同時清除記憶」要主動勾選，並寫明無法復原。③ 記憶跟設備：鍵是 (user_id, device_id, ip_key)。同一帳號的每台設備各自一份記憶；保留時，同帳號重綁同一台會接著用；換新設備從空白開始（搬記憶交給 R-11）。④ 清除在伺服器端一個交易完成：先刪該設備的 memory_facts、memory_segments、conversations（連帳號的舊 memories），再解綁；任何一步失敗就不解綁，並顯示錯誤。⑤ 其他帳號認領同一台設備，看不到舊記憶（靠 user_id 隔離，不靠刪除成功）。⑥ 設定頁按設備顯示記憶；「清除全部」只清所選設備，連 conversations 一起刪。⑦ 對話中清除，之後的寫入和 consolidation 不會把記憶寫回（devices.memories_revision + trigger）。⑧ 未認領的設備不能對話：/ws/esp32 查到設備沒有 user_id 就在 auth 前以 4401 關閉，即使 24 小時 token 未過期；韌體重新取 token 拿到 202，回到配對狀態。⑨ 解綁時立即中斷該設備正在進行的語音 session。⑩ 網頁語音（playground）沒有設備，不讀也不寫記憶。</t>
        </is>
      </c>
      <c r="F28" s="11" t="n"/>
      <c r="G28" s="11" t="n"/>
      <c r="H28" s="11" t="n"/>
      <c r="I28" s="12" t="n"/>
    </row>
    <row r="29" ht="200" customHeight="1">
      <c r="A29" s="13" t="inlineStr">
        <is>
          <t>P2-09</t>
        </is>
      </c>
      <c r="B29" s="6" t="inlineStr">
        <is>
          <t>每台設備成本監控</t>
        </is>
      </c>
      <c r="C29" s="13" t="inlineStr">
        <is>
          <t>2 內測準備</t>
        </is>
      </c>
      <c r="D29" s="13" t="inlineStr">
        <is>
          <t>進行中</t>
        </is>
      </c>
      <c r="E29" s="6" t="inlineStr">
        <is>
          <t>上次測試：部分通過 — 本機：pytest 239 passed（新增 8 項：STT/TTS 用量入行、遲到的用量帶到下一行、session 結束寫 usage 行、設備 ID、同一輪多次 LLM 相加、記憶整理的 token 即使回覆解析失敗也記錄並記到該設備）。模擬板子跑 2 輪（本機語音伺服器 7865）：送 2.24s 音訊 → stt_audio_ms=2242（兩輪皆是）；每輪有 tts_chars、token、device_id；session 結束的記憶整理寫成 memory 行（deepseek-v4-flash 946/10 token）。Usage 頁按設備與日期顯示 HK$，改費率即重算並進審計。未做：抽 10 個 session 與 Azure/MiniMax/OpenRouter 帳單對帳（需用戶提供帳單）、部署線上。
每個 session 記錄 STT 秒數、LLM token、TTS 字數並換算成本；admin 頁顯示每台設備的月成本。</t>
        </is>
      </c>
      <c r="F29" s="11" t="n"/>
      <c r="G29" s="11" t="n"/>
      <c r="H29" s="11" t="n"/>
      <c r="I29" s="12" t="n"/>
    </row>
    <row r="30" ht="172" customHeight="1">
      <c r="A30" s="13" t="inlineStr">
        <is>
          <t>P2-13</t>
        </is>
      </c>
      <c r="B30" s="6" t="inlineStr">
        <is>
          <t>Admin 後台改成分組側欄（新頁面先用示例數據預覽）</t>
        </is>
      </c>
      <c r="C30" s="13" t="inlineStr">
        <is>
          <t>2 內測準備</t>
        </is>
      </c>
      <c r="D30" s="13" t="inlineStr">
        <is>
          <t>進行中</t>
        </is>
      </c>
      <c r="E30" s="6" t="inlineStr">
        <is>
          <t>上次測試：部分通過 — ① tsc --noEmit 通過 ② 略過登入的測試頁（另一份副本、獨立 .next）：超級管理員 15 頁、內容管理員只見 Characters／IPs；1360px 與 375px 均無橫向捲動（scrollWidth=clientWidth=375）；#audit 直接打開正確；③④ 未做：需真實帳號登入 /admin
6 個現有分頁（Model、Latency、Characters、IPs、Accounts、Admins）在新側欄照常使用，讀寫真實數據；內容管理員只看到 Characters 和 IPs；預覽頁和規劃頁只有超級管理員看到，並有橫幅寫明示例數據、按鈕不能用；每頁有 #hash 可直接打開；手機寬度沒有橫向捲動。</t>
        </is>
      </c>
      <c r="F30" s="11" t="n"/>
      <c r="G30" s="11" t="n"/>
      <c r="H30" s="11" t="n"/>
      <c r="I30" s="12" t="n"/>
    </row>
    <row r="31" ht="270" customHeight="1">
      <c r="A31" s="13" t="inlineStr">
        <is>
          <t>P2-24</t>
        </is>
      </c>
      <c r="B31" s="6" t="inlineStr">
        <is>
          <t>麥克風上行改用 IMA ADPCM（減少 4 倍頻寬）</t>
        </is>
      </c>
      <c r="C31" s="13" t="inlineStr">
        <is>
          <t>2 內測準備</t>
        </is>
      </c>
      <c r="D31" s="13" t="inlineStr">
        <is>
          <t>進行中</t>
        </is>
      </c>
      <c r="E31" s="6" t="inlineStr">
        <is>
          <t>上次測試：部分通過 — ① pytest test_mic_adpcm 10 項：Mac 上編譯 firmware MicAdpcm.cpp，與 audioop 逐 byte 一致（改壞一個表值即失敗）；分塊解碼 = 連續流解碼；掉一塊只損失該塊；人聲段 SNR &gt; 20dB；全套 275 passed ② 伺服器按 X-Mic-Codec 解碼，無 header 照舊 PCM（10:37 1.7.5 → mic=pcm，10:40 1.7.6 → mic=adpcm）③ 62:70 Guest（2026-10-15）：ADPCM 3 輪 Azure zh-HK 辨識通順完整（如『但係點解依家望到外邊係陰天嘅？』），STT 431–526ms，對照同場 PCM 560ms；上行 27,650B/3,370ms 與 16,625B/2,026ms = 8.2 B/ms（PCM 32），發送最長 3ms、最低 heap 55KB
① 新韌體上行用 IMA ADPCM（64 kbps），每幀帶解碼狀態（預測值＋步長索引），掉幀或重連後下一幀即可正確解碼 ② 連線時以 header 聲明編碼；伺服器據此解碼成 16kHz PCM 再交給 STT；沒有聲明的舊韌體照舊當 PCM ③ 韌體編碼與伺服器解碼位元一致（同一算法）④ 編碼 CPU &lt; 2%、不增加延遲 ⑤ 語音辨識品質與 PCM 相當</t>
        </is>
      </c>
      <c r="F31" s="11" t="n"/>
      <c r="G31" s="11" t="n"/>
      <c r="H31" s="11" t="n"/>
      <c r="I31" s="12" t="n"/>
    </row>
    <row r="32" ht="200" customHeight="1">
      <c r="A32" s="13" t="inlineStr">
        <is>
          <t>R-21</t>
        </is>
      </c>
      <c r="B32" s="6" t="inlineStr">
        <is>
          <t>藍牙配網與綁定（取代熱點配網）</t>
        </is>
      </c>
      <c r="C32" s="13" t="inlineStr">
        <is>
          <t>2 內測準備</t>
        </is>
      </c>
      <c r="D32" s="13" t="inlineStr">
        <is>
          <t>進行中</t>
        </is>
      </c>
      <c r="E32" s="6" t="inlineStr">
        <is>
          <t>① 設備在「未配網、Wi-Fi 連不上、未綁定、長按 BOOT」時以 AIBuddy-XXXX 名稱廣播藍牙，廣播資料帶品牌，品牌 App 只列出自己品牌的設備。② 設備經藍牙回傳它掃描到的 2.4GHz Wi-Fi 清單，App 讓用戶選擇並填密碼。③ App 經藍牙把 SSID、密碼和綁定票（P0-11）一起交給設備；藍牙通道加密（ESP 標準配網協定 security 1/2 或同等）。④ 設備連上 Wi-Fi 後自己完成認領，App 顯示綁定成功或失敗原因（密碼錯、設備已有主人、票過期）。⑤ 配網期間不啟動音訊；完成後釋放藍牙記憶體再開語音（必要時重開機），對話中最低 heap 不比現在差。⑥ 解綁在 App 內完成（P1-12），解綁後設備進入藍牙待綁定狀態。⑦ SoftAP 熱點配網保留給開發和運維（隱藏觸發方式或編譯開關），量產用戶流程不出現。</t>
        </is>
      </c>
      <c r="F32" s="11" t="n"/>
      <c r="G32" s="11" t="n"/>
      <c r="H32" s="11" t="n"/>
      <c r="I32" s="12" t="n"/>
    </row>
    <row r="33" ht="172" customHeight="1">
      <c r="A33" s="13" t="inlineStr">
        <is>
          <t>R-36</t>
        </is>
      </c>
      <c r="B33" s="6" t="inlineStr">
        <is>
          <t>未認領的設備停在配對狀態，不再每秒重連 websocket</t>
        </is>
      </c>
      <c r="C33" s="13" t="inlineStr">
        <is>
          <t>2 內測準備</t>
        </is>
      </c>
      <c r="D33" s="13" t="inlineStr">
        <is>
          <t>進行中</t>
        </is>
      </c>
      <c r="E33" s="6" t="inlineStr">
        <is>
          <t>上次測試：部分通過 — 補充 2026-10-15（1.7.5，含 R-36）：已綁定時兩次 Wi-Fi 切換各斷網 9–11 秒，都自動重連並重新 auth，沒有停在暫停狀態；30 秒斷網仍未做
① 拿到 202 或 websocket 被 4401 拒絕後，設備停掉 websocket 自動重連，進入待綁定狀態（燈號可分辨）。② 待綁定時只按退避（5 秒起、上限 PROVISION_BACKOFF_MAX）呼叫 generate_auth_token，不開 websocket。③ 被認領後下一次輪詢拿到 200，在 10 秒內（加退避）自動開 websocket 並能對話，不用重開機。④ 已綁定設備網絡斷線重連的行為不變。⑤ 隨 OTA 推出。</t>
        </is>
      </c>
      <c r="F33" s="11" t="n"/>
      <c r="G33" s="11" t="n"/>
      <c r="H33" s="11" t="n"/>
      <c r="I33" s="12" t="n"/>
    </row>
    <row r="34" ht="228" customHeight="1">
      <c r="A34" s="13" t="inlineStr">
        <is>
          <t>P2-12</t>
        </is>
      </c>
      <c r="B34" s="6" t="inlineStr">
        <is>
          <t>量產燒錄前加大 app 分區</t>
        </is>
      </c>
      <c r="C34" s="13" t="inlineStr">
        <is>
          <t>3 封閉內測</t>
        </is>
      </c>
      <c r="D34" s="13" t="inlineStr">
        <is>
          <t>進行中</t>
        </is>
      </c>
      <c r="E34" s="6" t="inlineStr">
        <is>
          <t>上次測試：部分通過 — 62:70（spotpear-ai-toy-p212 原型，現已併入 spotpear-ai-toy）：① 本機 OTA 1.6.1→1.6.2 寫入新 app1，120s 後 confirmed ② 3 秒 abort 的 1.6.3 → PANIC → 回到 1.6.2，ota_failed_version=1.6.3 ③ 崩潰寫入 coredump 14.8KB ④ 資源分區 9 個聲音 504KB/2MB，開機 CRC 63ms，OTA 後照常；損壞/清空 → 退回內建聲音無崩潰 ⑤ pio 全部 18 個 env 編譯通過，映像都在各自 app 槽內（Spotpear 4 個 1.59–1.60MB / 4MB；其他板仍 2MB 槽）；R-21 藍牙探針版 2,326,128 bytes &lt; 4MB ⑥ release_firmware.py 映像 &gt; app 槽即拒發。未做：雲端 OTA 一次（等上 UAT）、出廠腳本寫入資源包（R-10）
新分區表（例如 app0/app1 各 4MB，保留 nvs/otadata 位置）在出廠前定案並寫入出廠腳本；OTA 與回滾在新分區表上照常</t>
        </is>
      </c>
      <c r="F34" s="11" t="n"/>
      <c r="G34" s="11" t="n"/>
      <c r="H34" s="11" t="n"/>
      <c r="I34" s="12" t="n"/>
    </row>
    <row r="35" ht="409" customHeight="1">
      <c r="A35" s="13" t="inlineStr">
        <is>
          <t>P2-22</t>
        </is>
      </c>
      <c r="B35" s="6" t="inlineStr">
        <is>
          <t>改服務器網址也不失聯：語音網址由後端下發、後端網址可遷移、已確認韌體長期連不上時自救</t>
        </is>
      </c>
      <c r="C35" s="13" t="inlineStr">
        <is>
          <t>3 封閉內測</t>
        </is>
      </c>
      <c r="D35" s="13" t="inlineStr">
        <is>
          <t>進行中</t>
        </is>
      </c>
      <c r="E35" s="6" t="inlineStr">
        <is>
          <t>上次測試：部分通過 — 後端部分（分支 p2-22-server-urls）：node --test lib/deviceServerUrls.test.mjs 5/5、tsc 0 錯誤。worktree dev server 3222 + 本機 Supabase，兩塊假板（02:22:…:01/02）：已認領 200 帶 voice_url + backend_url；未認領 202 只帶 backend_url；DEVICE_VOICE_URL=ws://fastapi:7860/… → 不發、日誌記錯誤；兩個變數都不設 → 兩個欄位都不帶；生產值 → wss://elatoai.hkqft.com/fastapi/ws/esp32、https://elatoai.hkqft.com。測試數據已清除
① /api/generate_auth_token 的回應帶 voice_url（wss 主機＋端口＋路徑，來自後端環境變數）；韌體用它連 /ws，並把最後一次成功的值存進 NVS；改 FastAPI 網址只改伺服器設定，不需新韌體 ② 回應沒有 voice_url（舊後端）或新網址連不上時，退回 NVS 上次成功的值，再退回出廠／編譯時的預設值 ③ 後端網址可遷移：回應可帶 backend_url；韌體先存為候選，下次開機用新網址取 token 成功才正式替換，失敗就繼續用舊網址；舊網址在遷移期內保持可用（runbook 寫明保留多久） ④ 已確認的韌體若連續 N 次開機（預設 10 次、跨度至少 24 小時，計數存 NVS）Wi-Fi 已拿到 IP 卻取不到 token：先依次試 NVS、出廠的後端網址；仍失敗且另一個槽可用，就切到另一個槽一次，並在下次連上時把本版本報為失敗 ⑤ 純斷網（拿不到 IP、路由器沒外網）不計入 ④ ⑥ 新網址的證書必須鏈到 CF_CA_bundle 裡的根（GTS Root R4、ISRG Root X1）；換主機或離開 Cloudflare 前先查證書鏈，runbook 寫明 ⑦ 只接受 https 的 backend_url 和 wss 的 voice_url，主機須在韌體內允許的網域後綴之下，防止後端被冒充時把板子引去別處</t>
        </is>
      </c>
      <c r="F35" s="11" t="n"/>
      <c r="G35" s="11" t="n"/>
      <c r="H35" s="11" t="n"/>
      <c r="I35" s="12" t="n"/>
    </row>
    <row r="36" ht="340" customHeight="1">
      <c r="A36" s="13" t="inlineStr">
        <is>
          <t>R-37</t>
        </is>
      </c>
      <c r="B36" s="6" t="inlineStr">
        <is>
          <t>網頁設定玩具的 Wi-Fi：查看、新增、刪除</t>
        </is>
      </c>
      <c r="C36" s="13" t="inlineStr">
        <is>
          <t>3 封閉內測</t>
        </is>
      </c>
      <c r="D36" s="13" t="inlineStr">
        <is>
          <t>進行中</t>
        </is>
      </c>
      <c r="E36" s="6" t="inlineStr">
        <is>
          <t>上次測試：部分通過 — 62:70（1.7.4/1.7.5，2026-10-15）：① 熱點關掉後醒來改連 HKQF - Guest 並上線（發生在醒來重開時）⑦ Use 按鈕、確認框、『Moving to…』；熱點關著時按 Use → 11 秒內頁面顯示『couldn't find lee’s iPhone nearby. It's back on HKQF - Guest』，串口 not_found → Back on Guest → 重連。過程中發現並修正：驅動殘留上一次的『找不到』令連回原網絡立即失敗並掉進 SoftAP（joinFor 6 秒內不信失敗，tryConnect 同用）。pytest 272 passed
① 設定頁顯示玩具在線／離線、目前 Wi-Fi 和訊號、已記住的 Wi-Fi 清單（只有名稱，不顯示密碼）② 在線時可新增 Wi-Fi（輸入或從玩具掃描到的清單選）、刪除 Wi-Fi；不能刪除正在使用的那個 ③ 經 /ws/esp32 轉送：伺服器先確認是設備主人；密碼不寫入資料庫、不寫入日誌 ④ 新增不自動切換網絡；目前 Wi-Fi 消失時按訊號選，或由家長按「改用這個」（⑦）；清單標示「連過／未連過」⑤ 上限 8 個 ⑥ 韌體改動經 OTA 推出 ⑦ 已記住、未在使用的 Wi-Fi 可按「改用這個」：玩具斷開目前網絡改連它，最多 20 秒，要連上我們的伺服器才算成功；失敗就自動連回原網絡，頁面顯示「連不上 X，已回到 Y」；切換中頁面顯示切換中，玩具重新連上後刷新；成功後標示連過</t>
        </is>
      </c>
      <c r="F36" s="11" t="n"/>
      <c r="G36" s="11" t="n"/>
      <c r="H36" s="11" t="n"/>
      <c r="I36" s="12" t="n"/>
    </row>
    <row r="37" ht="102" customHeight="1">
      <c r="A37" s="13" t="inlineStr">
        <is>
          <t>R-16</t>
        </is>
      </c>
      <c r="B37" s="6" t="inlineStr">
        <is>
          <t>Spotpear 量產版加電池電壓檢測（GPIO0 分壓）</t>
        </is>
      </c>
      <c r="C37" s="13" t="inlineStr">
        <is>
          <t>1 止血定案</t>
        </is>
      </c>
      <c r="D37" s="13" t="inlineStr">
        <is>
          <t>未開始</t>
        </is>
      </c>
      <c r="E37" s="6" t="inlineStr">
        <is>
          <t>Spotpear 書面確認量產版：GPIO1（屏幕 DC；本版不接屏幕，可空出來）接電芯正極（保護 IC 之後）100k/100k 分壓、100nF 濾波，屏幕不接該腳；GPIO0 保留給現有的 VDD 低電提醒；最好另把充電芯片 CHRG 接到 GPIO12 或 13。樣板到手後，固件讀到的電芯電壓與萬用表相差 ≤50mV，App（R-41）顯示百分比與充電中。</t>
        </is>
      </c>
      <c r="F37" s="11" t="n"/>
      <c r="G37" s="11" t="n"/>
      <c r="H37" s="11" t="n"/>
      <c r="I37" s="12" t="n"/>
    </row>
    <row r="38" ht="46" customHeight="1">
      <c r="A38" s="13" t="inlineStr">
        <is>
          <t>P1-11</t>
        </is>
      </c>
      <c r="B38" s="6" t="inlineStr">
        <is>
          <t>伺服器與資料庫直接存取的管控</t>
        </is>
      </c>
      <c r="C38" s="13" t="inlineStr">
        <is>
          <t>2 內測準備</t>
        </is>
      </c>
      <c r="D38" s="13" t="inlineStr">
        <is>
          <t>未開始</t>
        </is>
      </c>
      <c r="E38" s="6" t="inlineStr">
        <is>
          <t>列出誰有 SSH 與資料庫直連權限（越少越好）；service_role key 只存在伺服器的 env；私隱政策寫明這類存取的範圍；每次直接查看生產資料都留記錄。</t>
        </is>
      </c>
      <c r="F38" s="11" t="n"/>
      <c r="G38" s="11" t="n"/>
      <c r="H38" s="11" t="n"/>
      <c r="I38" s="12" t="n"/>
    </row>
    <row r="39" ht="46" customHeight="1">
      <c r="A39" s="13" t="inlineStr">
        <is>
          <t>P2-02</t>
        </is>
      </c>
      <c r="B39" s="6" t="inlineStr">
        <is>
          <t>CI 跑測試與靜態檢查</t>
        </is>
      </c>
      <c r="C39" s="13" t="inlineStr">
        <is>
          <t>2 內測準備</t>
        </is>
      </c>
      <c r="D39" s="13" t="inlineStr">
        <is>
          <t>未開始</t>
        </is>
      </c>
      <c r="E39" s="6" t="inlineStr">
        <is>
          <t>推送與 PR 時跑 pytest、ruff、pyright、next lint、tsc --noEmit、pio run；任何一項失敗就不發佈 image。</t>
        </is>
      </c>
      <c r="F39" s="11" t="n"/>
      <c r="G39" s="11" t="n"/>
      <c r="H39" s="11" t="n"/>
      <c r="I39" s="12" t="n"/>
    </row>
    <row r="40" ht="32" customHeight="1">
      <c r="A40" s="13" t="inlineStr">
        <is>
          <t>P2-04</t>
        </is>
      </c>
      <c r="B40" s="6" t="inlineStr">
        <is>
          <t>容器改用非 root 用戶</t>
        </is>
      </c>
      <c r="C40" s="13" t="inlineStr">
        <is>
          <t>2 內測準備</t>
        </is>
      </c>
      <c r="D40" s="13" t="inlineStr">
        <is>
          <t>未開始</t>
        </is>
      </c>
      <c r="E40" s="6" t="inlineStr">
        <is>
          <t>兩個 Dockerfile 都設定非 root 的 USER。</t>
        </is>
      </c>
      <c r="F40" s="11" t="n"/>
      <c r="G40" s="11" t="n"/>
      <c r="H40" s="11" t="n"/>
      <c r="I40" s="12" t="n"/>
    </row>
    <row r="41" ht="46" customHeight="1">
      <c r="A41" s="13" t="inlineStr">
        <is>
          <t>R-04</t>
        </is>
      </c>
      <c r="B41" s="6" t="inlineStr">
        <is>
          <t>粵語質量評測</t>
        </is>
      </c>
      <c r="C41" s="13" t="inlineStr">
        <is>
          <t>2 內測準備</t>
        </is>
      </c>
      <c r="D41" s="13" t="inlineStr">
        <is>
          <t>未開始</t>
        </is>
      </c>
      <c r="E41" s="6" t="inlineStr">
        <is>
          <t>有一套粵語評測集（兒童錄音＋文字提示）；選定的 STT 與 LLM 達到門檻：兒童語音字錯率 ≤15%、口語粵語回覆 ≥90%、中英夾雜句能正確理解。</t>
        </is>
      </c>
      <c r="F41" s="11" t="n"/>
      <c r="G41" s="11" t="n"/>
      <c r="H41" s="11" t="n"/>
      <c r="I41" s="12" t="n"/>
    </row>
    <row r="42" ht="116" customHeight="1">
      <c r="A42" s="13" t="inlineStr">
        <is>
          <t>R-25</t>
        </is>
      </c>
      <c r="B42" s="6" t="inlineStr">
        <is>
          <t>網頁的品牌主題系統</t>
        </is>
      </c>
      <c r="C42" s="13" t="inlineStr">
        <is>
          <t>2 內測準備</t>
        </is>
      </c>
      <c r="D42" s="13" t="inlineStr">
        <is>
          <t>未開始</t>
        </is>
      </c>
      <c r="E42" s="6" t="inlineStr">
        <is>
          <t>① 每個品牌一個資料夾：主題 token（顏色、字體、圓角）、logo 和圖示、文案、功能開關；首頁、上手流程、角色頁可以有品牌版本，其餘頁面共用 ② 由部署的環境變數選品牌（每套部署一個品牌，見 R-34），伺服器端渲染的第一屏就是對的主題，不閃爍 ③ 共用元件裡沒有品牌名稱和寫死的品牌顏色 ④ 加一個品牌只需要加資料夾、設定和一套部署，不用改共用元件</t>
        </is>
      </c>
      <c r="F42" s="11" t="n"/>
      <c r="G42" s="11" t="n"/>
      <c r="H42" s="11" t="n"/>
      <c r="I42" s="12" t="n"/>
    </row>
    <row r="44">
      <c r="A44" s="10" t="inlineStr">
        <is>
          <t>✅ 最近完成與測試效果</t>
        </is>
      </c>
    </row>
    <row r="45">
      <c r="A45" s="4" t="inlineStr">
        <is>
          <t>編號</t>
        </is>
      </c>
      <c r="B45" s="4" t="inlineStr">
        <is>
          <t>任務</t>
        </is>
      </c>
      <c r="C45" s="4" t="inlineStr">
        <is>
          <t>測試結果</t>
        </is>
      </c>
      <c r="D45" s="4" t="inlineStr">
        <is>
          <t>完成日期</t>
        </is>
      </c>
      <c r="E45" s="4" t="inlineStr">
        <is>
          <t>測試證據</t>
        </is>
      </c>
      <c r="F45" s="11" t="n"/>
      <c r="G45" s="11" t="n"/>
      <c r="H45" s="11" t="n"/>
      <c r="I45" s="12" t="n"/>
    </row>
    <row r="46" ht="88" customHeight="1">
      <c r="A46" s="13" t="inlineStr">
        <is>
          <t>P2-21</t>
        </is>
      </c>
      <c r="B46" s="6" t="inlineStr">
        <is>
          <t>P2-16 ⑤ 後台 OTA 頁換成真實數據與操作</t>
        </is>
      </c>
      <c r="C46" s="13" t="inlineStr">
        <is>
          <t>通過</t>
        </is>
      </c>
      <c r="D46" s="13" t="inlineStr">
        <is>
          <t>2026-10-15</t>
        </is>
      </c>
      <c r="E46" s="6" t="inlineStr">
        <is>
          <t>10-14 模擬 20 台全部通過（見上次）；2026-10-15 真機補做：OTA 頁對 1.7.1 白名單加 62:70（UI MAC 欄）→ 存檔確認框 → 『Narrow to Whitelist』確認 → Make current（用戶點）→ 62:70 安裝並確認，頁面顯示 Rolling out · Whitelist、運行 1、回滾 0；每步一筆審計。依賴 P2-14 已完成</t>
        </is>
      </c>
      <c r="F46" s="11" t="n"/>
      <c r="G46" s="11" t="n"/>
      <c r="H46" s="11" t="n"/>
      <c r="I46" s="12" t="n"/>
    </row>
    <row r="47" ht="158" customHeight="1">
      <c r="A47" s="13" t="inlineStr">
        <is>
          <t>P2-16</t>
        </is>
      </c>
      <c r="B47" s="6" t="inlineStr">
        <is>
          <t>OTA 分批推送與後台發佈頁</t>
        </is>
      </c>
      <c r="C47" s="13" t="inlineStr">
        <is>
          <t>通過</t>
        </is>
      </c>
      <c r="D47" s="13" t="inlineStr">
        <is>
          <t>2026-10-15</t>
        </is>
      </c>
      <c r="E47" s="6" t="inlineStr">
        <is>
          <t>④ 真機 62:70（2026-10-15）：USB 刷 1.7.0（開機印 aibuddy-build;kind=dev;…;version=1.7.0）→ release_firmware.py publish --dev 1.7.1 → 後台白名單加 62:70、改白名單階段、設為 current → 按 BOOT 喚醒：取 token 200、下載 12.8s、重開進 app1，09:39:36 連上語音伺服器；09:42 重開 → 『Firmware 1.7.1 on app1』無 probation、Up to date；頁面『Rolling out · Whitelist』運行 1 台、回滾 0；審計 5 筆（發佈、白名單、階段、1.6.2 取消 current、1.7.1 設 current）。①②③⑤ 見 P2-17～P2-21 模擬 20 台</t>
        </is>
      </c>
      <c r="F47" s="11" t="n"/>
      <c r="G47" s="11" t="n"/>
      <c r="H47" s="11" t="n"/>
      <c r="I47" s="12" t="n"/>
    </row>
    <row r="48" ht="144" customHeight="1">
      <c r="A48" s="13" t="inlineStr">
        <is>
          <t>P2-14</t>
        </is>
      </c>
      <c r="B48" s="6" t="inlineStr">
        <is>
          <t>Admin 設備頁：每台玩具的狀態、韌體與基本操作</t>
        </is>
      </c>
      <c r="C48" s="13" t="inlineStr">
        <is>
          <t>通過</t>
        </is>
      </c>
      <c r="D48" s="13" t="inlineStr">
        <is>
          <t>2026-10-15</t>
        </is>
      </c>
      <c r="E48" s="6" t="inlineStr">
        <is>
          <t>真機 62:70（2026-10-15，分支 hw-test-1015 = dev+P2-16，-localall 1.7.0，本機網頁 3230 + 語音 7870）：① 開機 → 設備頁 Online、-67 dBm、1.7.0；板子停在 bootloader 約 38 秒後語音伺服器判離線（uvicorn ping 超時），頁面 0 台在線 ② 重置設備密鑰 → device_secrets 行刪除，板子重開印『Device secret issued and stored』並連上，行恢復 ③ 強制解綁 → 板子拿 202（配對碼 UKDM7N），語音伺服器拒絕連線；兩項審計各 1 筆含操作者與原因 ④ 內容管理員/anon → 42501（10-14 探測腳本）</t>
        </is>
      </c>
      <c r="F48" s="11" t="n"/>
      <c r="G48" s="11" t="n"/>
      <c r="H48" s="11" t="n"/>
      <c r="I48" s="12" t="n"/>
    </row>
    <row r="49" ht="214" customHeight="1">
      <c r="A49" s="13" t="inlineStr">
        <is>
          <t>P2-20</t>
        </is>
      </c>
      <c r="B49" s="6" t="inlineStr">
        <is>
          <t>P2-16 ④ 從後台上傳與發佈韌體（取代手貼 service key）</t>
        </is>
      </c>
      <c r="C49" s="13" t="inlineStr">
        <is>
          <t>通過</t>
        </is>
      </c>
      <c r="D49" s="13" t="inlineStr">
        <is>
          <t>2026-10-14</t>
        </is>
      </c>
      <c r="E49" s="6" t="inlineStr">
        <is>
          <t>node --test lib/firmwareImage.test.mjs 8/8（合成映像：dev build、無標記、未知板、晶片不符、非映像、截斷/損壞、超 4MB 拒；超 2MB 只警告）。分支 dev server + 本機 Supabase 端到端 16/16（GoTrue 真實登入的 cookie）：超管上傳 9.9.0 release build → 201 草稿（is_current f、rollout 0%），DB SHA-256 = 檔案、storage 原樣；審計 insert 記該超管；設備仍只拿到 current 1.6.2；已有 1.0.2 → 409；localall → 422 dev build；4MB+16 → 422；9MB → 413；PNG → 422；舊 1.6.1 映像（無標記）→ 422 指向 release_firmware.py；內容管理員上傳/刪除 → 403；未登入 → 401；刪 current → 409；超管刪草稿 → 行和映像都刪、審計 delete 記該超管。release_firmware.py list 照常。測試帳號與數據已清除</t>
        </is>
      </c>
      <c r="F49" s="11" t="n"/>
      <c r="G49" s="11" t="n"/>
      <c r="H49" s="11" t="n"/>
      <c r="I49" s="12" t="n"/>
    </row>
    <row r="50" ht="158" customHeight="1">
      <c r="A50" s="13" t="inlineStr">
        <is>
          <t>P2-19</t>
        </is>
      </c>
      <c r="B50" s="6" t="inlineStr">
        <is>
          <t>P2-16 ③ 回滾過多時自動暫停推送</t>
        </is>
      </c>
      <c r="C50" s="13" t="inlineStr">
        <is>
          <t>通過</t>
        </is>
      </c>
      <c r="D50" s="13" t="inlineStr">
        <is>
          <t>2026-10-14</t>
        </is>
      </c>
      <c r="E50" s="6" t="inlineStr">
        <is>
          <t>migration 20261014200000 BEGIN/ROLLBACK 套用兩次無錯並已套用本機。模擬 20 台連跑兩次 12/12：1/20 回滾不暫停、其餘 18 台照常；2/20 → 'Auto-paused: 2 of 20 boards rolled back (10%)'，其餘 0 台拿到 ota；已運行的設備記為 running 且不再下發；審計 1 筆 actor 空；恢復後 17 台拿到、保持恢復，第 3 台回滾 → 'Auto-paused: 3 of 20 (15%)'；白名單 2 台中 1 台回滾 → 50% 立即暫停、另一台不再下發；anon 呼叫 ota_maybe_pause → 401/42501。測試數據已清除，spotpear-ai-toy 1.6.2 仍 100% 未暫停</t>
        </is>
      </c>
      <c r="F50" s="11" t="n"/>
      <c r="G50" s="11" t="n"/>
      <c r="H50" s="11" t="n"/>
      <c r="I50" s="12" t="n"/>
    </row>
    <row r="51" ht="200" customHeight="1">
      <c r="A51" s="13" t="inlineStr">
        <is>
          <t>P2-18</t>
        </is>
      </c>
      <c r="B51" s="6" t="inlineStr">
        <is>
          <t>P2-16 ② 按 MAC 雜湊穩定分組決定哪台收到 ota</t>
        </is>
      </c>
      <c r="C51" s="13" t="inlineStr">
        <is>
          <t>通過</t>
        </is>
      </c>
      <c r="D51" s="13" t="inlineStr">
        <is>
          <t>2026-10-14</t>
        </is>
      </c>
      <c r="E51" s="6" t="inlineStr">
        <is>
          <t>node --test lib/otaRollout.test.mjs 6/6：10,000 隨機 MAC 在 10%/50% 誤差 &lt; 1 個百分點、同 MAC（含大小寫/空白）結果一致、升階段只增不減、白名單各階段都在、不同版本選不同的 10%。tsc --noEmit 通過。分支 dev server（3216）+ 本機 Supabase 模擬 20 台（板型 p218-sim，連跑兩次 9/9）：白名單階段只有 1 台、重複不變；10% 拿到的正是雜湊預測的那組（2–5 台含白名單），重複不變；50% 包含 10% 全部；暫停 → 0 台且下載映像 404，恢復 → 200；100% → 除已更新和已回滾的 2 台外 18 台；每台下發次數與記錄一致；運行中/已回滾正確標記；審計 6 筆對應 6 次變更。真 spotpear-ai-toy（預設 100%）回報 1.6.1 → 仍拿到 1.6.2。測試數據已清除</t>
        </is>
      </c>
      <c r="F51" s="11" t="n"/>
      <c r="G51" s="11" t="n"/>
      <c r="H51" s="11" t="n"/>
      <c r="I51" s="12" t="n"/>
    </row>
    <row r="52" ht="172" customHeight="1">
      <c r="A52" s="13" t="inlineStr">
        <is>
          <t>P2-17</t>
        </is>
      </c>
      <c r="B52" s="6" t="inlineStr">
        <is>
          <t>P2-16 ① 分批推送的數據表：推送階段、白名單、每台安裝結果</t>
        </is>
      </c>
      <c r="C52" s="13" t="inlineStr">
        <is>
          <t>通過</t>
        </is>
      </c>
      <c r="D52" s="13" t="inlineStr">
        <is>
          <t>2026-10-14</t>
        </is>
      </c>
      <c r="E52" s="6" t="inlineStr">
        <is>
          <t>migration 20261014190000 BEGIN/ROLLBACK 套用兩次無錯並已套用本機；行為：預設 100%、promote 記 stage_changed_at，7 種壞值（25%、小寫/空字串/NULL MAC、暫停缺原因等）全被 check 擋；ota_note_offer 1→2→3，report 正確標 running/failed、別板型不影響，刪發佈連帶刪記錄；審計 5 筆含 'test-board 9.9.9' 標籤。REST 13/13：超管可讀、內容管理員 0 行、anon 42501，三種身份寫入/改階段/呼叫 ota_note_offer 皆 42501。release_firmware.py promote spotpear-ai-toy 1.6.2 成功，token 查詢仍選 1.6.2，審計記 2 筆（actor 空＝service role）</t>
        </is>
      </c>
      <c r="F52" s="11" t="n"/>
      <c r="G52" s="11" t="n"/>
      <c r="H52" s="11" t="n"/>
      <c r="I52" s="12" t="n"/>
    </row>
    <row r="53" ht="116" customHeight="1">
      <c r="A53" s="13" t="inlineStr">
        <is>
          <t>R-41</t>
        </is>
      </c>
      <c r="B53" s="6" t="inlineStr">
        <is>
          <t>App 顯示玩具電量狀態（低電量提示）</t>
        </is>
      </c>
      <c r="C53" s="13" t="inlineStr">
        <is>
          <t>通過</t>
        </is>
      </c>
      <c r="D53" s="13" t="inlineStr">
        <is>
          <t>2026-10-14</t>
        </is>
      </c>
      <c r="E53" s="6" t="inlineStr">
        <is>
          <t>① pytest 33 passed；真 PATCH 本地 Supabase ② 62:70 刷 p212+R-41 強制低電 build（SUPPLY_LOW_RATIO_OVERRIDE=1.05）→ 串口 [WSc] power low:true，本地 DB battery_low=t ③ 刷回正常 1.6.2 → low:false，DB=f ④ App 讀 DB：低電紅標+Please charge+更新時間、72% 充電中、未上報不顯示 ⑤ 他人帳號 0 行、authenticated UPDATE 被拒。62:70 已還原為原 p212 build</t>
        </is>
      </c>
      <c r="F53" s="11" t="n"/>
      <c r="G53" s="11" t="n"/>
      <c r="H53" s="11" t="n"/>
      <c r="I53" s="12" t="n"/>
    </row>
    <row r="55">
      <c r="A55" s="10" t="inlineStr">
        <is>
          <t>⏳ 等待依賴 / ⛔ 阻塞</t>
        </is>
      </c>
    </row>
    <row r="56">
      <c r="A56" s="4" t="inlineStr">
        <is>
          <t>編號</t>
        </is>
      </c>
      <c r="B56" s="4" t="inlineStr">
        <is>
          <t>任務</t>
        </is>
      </c>
      <c r="C56" s="4" t="inlineStr">
        <is>
          <t>在等什麼</t>
        </is>
      </c>
      <c r="D56" s="11" t="n"/>
      <c r="E56" s="11" t="n"/>
      <c r="F56" s="11" t="n"/>
      <c r="G56" s="11" t="n"/>
      <c r="H56" s="11" t="n"/>
      <c r="I56" s="12" t="n"/>
    </row>
    <row r="57" ht="88" customHeight="1">
      <c r="A57" s="13" t="inlineStr">
        <is>
          <t>R-17</t>
        </is>
      </c>
      <c r="B57" s="6" t="inlineStr">
        <is>
          <t>Spotpear 電池耗盡時插電能否正常開機（供電路徑）</t>
        </is>
      </c>
      <c r="C57" s="6" t="inlineStr">
        <is>
          <t>阻塞：[2026-10-08] 2026-10-08 開發板 63:64 插著 USB 時兩次無法解釋的完全斷電重開：09:13:26（崩潰循環中）、10:44:33（閒置、用戶確認沒碰）。都是 USB 先斷線再以 ESP_RST_POWERON 開機，非 brownout；斷電前 6 秒 GPIO0 讀數 99.9% 參考值，屬突然切斷而非緩降（SupplyMonitor 取樣太疏抓不到瞬間）。韌體無法造成 POWERON，指向充電芯片/電池保護/供電路徑，應一併問 Spotpear；放電實測時留意插 USB 閒置時是否也會斷電</t>
        </is>
      </c>
      <c r="D57" s="11" t="n"/>
      <c r="E57" s="11" t="n"/>
      <c r="F57" s="11" t="n"/>
      <c r="G57" s="11" t="n"/>
      <c r="H57" s="11" t="n"/>
      <c r="I57" s="12" t="n"/>
    </row>
    <row r="58" ht="60" customHeight="1">
      <c r="A58" s="13" t="inlineStr">
        <is>
          <t>P1-01</t>
        </is>
      </c>
      <c r="B58" s="6" t="inlineStr">
        <is>
          <t>加入內容審核層（輸入與輸出）</t>
        </is>
      </c>
      <c r="C58" s="6" t="inlineStr">
        <is>
          <t>阻塞：[2026-10-14] 2026-10-14 用戶決定：先不定審核服務商，本項暫停。候選：Azure Content Safety（建議，香港區、可在每句回覆說出口前檢查）、OpenRouter 安全模型、OpenAI Moderation、只用本機字詞表。未寫任何程式。</t>
        </is>
      </c>
      <c r="D58" s="11" t="n"/>
      <c r="E58" s="11" t="n"/>
      <c r="F58" s="11" t="n"/>
      <c r="G58" s="11" t="n"/>
      <c r="H58" s="11" t="n"/>
      <c r="I58" s="12" t="n"/>
    </row>
    <row r="59" ht="32" customHeight="1">
      <c r="A59" s="13" t="inlineStr">
        <is>
          <t>P1-09</t>
        </is>
      </c>
      <c r="B59" s="6" t="inlineStr">
        <is>
          <t>家長鎖：孩子模式進設定要輸入 PIN</t>
        </is>
      </c>
      <c r="C59" s="6" t="inlineStr">
        <is>
          <t>阻塞：[2026-10-13] 2026-10-13 用戶決定：AI Buddy（品牌 C）延到 1/15 之後，本項不卡 1/15 出廠；AI Buddy 啟動時再開。</t>
        </is>
      </c>
      <c r="D59" s="11" t="n"/>
      <c r="E59" s="11" t="n"/>
      <c r="F59" s="11" t="n"/>
      <c r="G59" s="11" t="n"/>
      <c r="H59" s="11" t="n"/>
      <c r="I59" s="12" t="n"/>
    </row>
    <row r="60" ht="32" customHeight="1">
      <c r="A60" s="13" t="inlineStr">
        <is>
          <t>R-12</t>
        </is>
      </c>
      <c r="B60" s="6" t="inlineStr">
        <is>
          <t>家長控制：每日使用上限和休息時段</t>
        </is>
      </c>
      <c r="C60" s="6" t="inlineStr">
        <is>
          <t>阻塞：[2026-10-13] 2026-10-13 用戶決定：AI Buddy（品牌 C）延到 1/15 之後，本項不卡 1/15 出廠；AI Buddy 啟動時再開。</t>
        </is>
      </c>
      <c r="D60" s="11" t="n"/>
      <c r="E60" s="11" t="n"/>
      <c r="F60" s="11" t="n"/>
      <c r="G60" s="11" t="n"/>
      <c r="H60" s="11" t="n"/>
      <c r="I60" s="12" t="n"/>
    </row>
    <row r="61" ht="32" customHeight="1">
      <c r="A61" s="13" t="inlineStr">
        <is>
          <t>R-29</t>
        </is>
      </c>
      <c r="B61" s="6" t="inlineStr">
        <is>
          <t>AI Buddy App（品牌 C）頁面</t>
        </is>
      </c>
      <c r="C61" s="6" t="inlineStr">
        <is>
          <t>阻塞：[2026-10-13] 2026-10-13 用戶決定：AI Buddy（品牌 C）延到 1/15 之後，本項不卡 1/15 出廠；AI Buddy 啟動時再開。</t>
        </is>
      </c>
      <c r="D61" s="11" t="n"/>
      <c r="E61" s="11" t="n"/>
      <c r="F61" s="11" t="n"/>
      <c r="G61" s="11" t="n"/>
      <c r="H61" s="11" t="n"/>
      <c r="I61" s="12" t="n"/>
    </row>
    <row r="62" ht="32" customHeight="1">
      <c r="A62" s="13" t="inlineStr">
        <is>
          <t>P2-25</t>
        </is>
      </c>
      <c r="B62" s="6" t="inlineStr">
        <is>
          <t>C3 斷線後自救：TLS 握手超時縮短、連續失敗重設 Wi-Fi 或重開、修重試漏記憶體</t>
        </is>
      </c>
      <c r="C62" s="6" t="inlineStr">
        <is>
          <t>等 P2-24</t>
        </is>
      </c>
      <c r="D62" s="11" t="n"/>
      <c r="E62" s="11" t="n"/>
      <c r="F62" s="11" t="n"/>
      <c r="G62" s="11" t="n"/>
      <c r="H62" s="11" t="n"/>
      <c r="I62" s="12" t="n"/>
    </row>
    <row r="63" ht="18" customHeight="1">
      <c r="A63" s="13" t="inlineStr">
        <is>
          <t>R-05</t>
        </is>
      </c>
      <c r="B63" s="6" t="inlineStr">
        <is>
          <t>內測版外殼（3D 打印 20 台）</t>
        </is>
      </c>
      <c r="C63" s="6" t="inlineStr">
        <is>
          <t>等 R-01</t>
        </is>
      </c>
      <c r="D63" s="11" t="n"/>
      <c r="E63" s="11" t="n"/>
      <c r="F63" s="11" t="n"/>
      <c r="G63" s="11" t="n"/>
      <c r="H63" s="11" t="n"/>
      <c r="I63" s="12" t="n"/>
    </row>
    <row r="64" ht="18" customHeight="1">
      <c r="A64" s="13" t="inlineStr">
        <is>
          <t>R-06</t>
        </is>
      </c>
      <c r="B64" s="6" t="inlineStr">
        <is>
          <t>家長自助上手流程</t>
        </is>
      </c>
      <c r="C64" s="6" t="inlineStr">
        <is>
          <t>等 P0-11</t>
        </is>
      </c>
      <c r="D64" s="11" t="n"/>
      <c r="E64" s="11" t="n"/>
      <c r="F64" s="11" t="n"/>
      <c r="G64" s="11" t="n"/>
      <c r="H64" s="11" t="n"/>
      <c r="I64" s="12" t="n"/>
    </row>
    <row r="65" ht="32" customHeight="1">
      <c r="A65" s="13" t="inlineStr">
        <is>
          <t>R-13</t>
        </is>
      </c>
      <c r="B65" s="6" t="inlineStr">
        <is>
          <t>CP1 內測就緒檢查（10/30）</t>
        </is>
      </c>
      <c r="C65" s="6" t="inlineStr">
        <is>
          <t>等 P0-07、P0-11、P1-01、P1-02、P2-09、R-01、R-02、R-04、R-05、R-06、P1-11</t>
        </is>
      </c>
      <c r="D65" s="11" t="n"/>
      <c r="E65" s="11" t="n"/>
      <c r="F65" s="11" t="n"/>
      <c r="G65" s="11" t="n"/>
      <c r="H65" s="11" t="n"/>
      <c r="I65" s="12" t="n"/>
    </row>
    <row r="66" ht="32" customHeight="1">
      <c r="A66" s="13" t="inlineStr">
        <is>
          <t>R-18</t>
        </is>
      </c>
      <c r="B66" s="6" t="inlineStr">
        <is>
          <t>長按 BOOT 重新配網（開 AIBuddy-XXXX 熱點）</t>
        </is>
      </c>
      <c r="C66" s="6" t="inlineStr">
        <is>
          <t>等 R-01</t>
        </is>
      </c>
      <c r="D66" s="11" t="n"/>
      <c r="E66" s="11" t="n"/>
      <c r="F66" s="11" t="n"/>
      <c r="G66" s="11" t="n"/>
      <c r="H66" s="11" t="n"/>
      <c r="I66" s="12" t="n"/>
    </row>
    <row r="67" ht="32" customHeight="1">
      <c r="A67" s="13" t="inlineStr">
        <is>
          <t>R-19</t>
        </is>
      </c>
      <c r="B67" s="6" t="inlineStr">
        <is>
          <t>外接按鈕：量產板加 I2C 擴展晶片（TCA9555）</t>
        </is>
      </c>
      <c r="C67" s="6" t="inlineStr">
        <is>
          <t>等 R-01</t>
        </is>
      </c>
      <c r="D67" s="11" t="n"/>
      <c r="E67" s="11" t="n"/>
      <c r="F67" s="11" t="n"/>
      <c r="G67" s="11" t="n"/>
      <c r="H67" s="11" t="n"/>
      <c r="I67" s="12" t="n"/>
    </row>
    <row r="68" ht="18" customHeight="1">
      <c r="A68" s="13" t="inlineStr">
        <is>
          <t>R-20</t>
        </is>
      </c>
      <c r="B68" s="6" t="inlineStr">
        <is>
          <t>孩子資料與角色改成每台設備一份</t>
        </is>
      </c>
      <c r="C68" s="6" t="inlineStr">
        <is>
          <t>等 P1-12</t>
        </is>
      </c>
      <c r="D68" s="11" t="n"/>
      <c r="E68" s="11" t="n"/>
      <c r="F68" s="11" t="n"/>
      <c r="G68" s="11" t="n"/>
      <c r="H68" s="11" t="n"/>
      <c r="I68" s="12" t="n"/>
    </row>
    <row r="69" ht="32" customHeight="1">
      <c r="A69" s="13" t="inlineStr">
        <is>
          <t>R-27</t>
        </is>
      </c>
      <c r="B69" s="6" t="inlineStr">
        <is>
          <t>App 內登入：驗證碼、原生社交登入、刪除帳號</t>
        </is>
      </c>
      <c r="C69" s="6" t="inlineStr">
        <is>
          <t>等 R-26</t>
        </is>
      </c>
      <c r="D69" s="11" t="n"/>
      <c r="E69" s="11" t="n"/>
      <c r="F69" s="11" t="n"/>
      <c r="G69" s="11" t="n"/>
      <c r="H69" s="11" t="n"/>
      <c r="I69" s="12" t="n"/>
    </row>
    <row r="70" ht="18" customHeight="1">
      <c r="A70" s="13" t="inlineStr">
        <is>
          <t>P0-14</t>
        </is>
      </c>
      <c r="B70" s="6" t="inlineStr">
        <is>
          <t>韌體簽章、Secure Boot 與 Flash 加密</t>
        </is>
      </c>
      <c r="C70" s="6" t="inlineStr">
        <is>
          <t>等 R-01</t>
        </is>
      </c>
      <c r="D70" s="11" t="n"/>
      <c r="E70" s="11" t="n"/>
      <c r="F70" s="11" t="n"/>
      <c r="G70" s="11" t="n"/>
      <c r="H70" s="11" t="n"/>
      <c r="I70" s="12" t="n"/>
    </row>
    <row r="71" ht="18" customHeight="1">
      <c r="A71" s="13" t="inlineStr">
        <is>
          <t>P1-06</t>
        </is>
      </c>
      <c r="B71" s="6" t="inlineStr">
        <is>
          <t>處理 GPL-3.0 依賴（arduino-audio-tools）</t>
        </is>
      </c>
      <c r="C71" s="6" t="inlineStr">
        <is>
          <t>等 Q3</t>
        </is>
      </c>
      <c r="D71" s="11" t="n"/>
      <c r="E71" s="11" t="n"/>
      <c r="F71" s="11" t="n"/>
      <c r="G71" s="11" t="n"/>
      <c r="H71" s="11" t="n"/>
      <c r="I71" s="12" t="n"/>
    </row>
    <row r="72" ht="18" customHeight="1">
      <c r="A72" s="13" t="inlineStr">
        <is>
          <t>P1-07</t>
        </is>
      </c>
      <c r="B72" s="6" t="inlineStr">
        <is>
          <t>LGPL 合規與第三方授權聲明</t>
        </is>
      </c>
      <c r="C72" s="6" t="inlineStr">
        <is>
          <t>等 Q3</t>
        </is>
      </c>
      <c r="D72" s="11" t="n"/>
      <c r="E72" s="11" t="n"/>
      <c r="F72" s="11" t="n"/>
      <c r="G72" s="11" t="n"/>
      <c r="H72" s="11" t="n"/>
      <c r="I72" s="12" t="n"/>
    </row>
    <row r="73" ht="18" customHeight="1">
      <c r="A73" s="13" t="inlineStr">
        <is>
          <t>P1-08</t>
        </is>
      </c>
      <c r="B73" s="6" t="inlineStr">
        <is>
          <t>硬件認證</t>
        </is>
      </c>
      <c r="C73" s="6" t="inlineStr">
        <is>
          <t>等 R-01、R-05</t>
        </is>
      </c>
      <c r="D73" s="11" t="n"/>
      <c r="E73" s="11" t="n"/>
      <c r="F73" s="11" t="n"/>
      <c r="G73" s="11" t="n"/>
      <c r="H73" s="11" t="n"/>
      <c r="I73" s="12" t="n"/>
    </row>
    <row r="74" ht="18" customHeight="1">
      <c r="A74" s="13" t="inlineStr">
        <is>
          <t>P1-14</t>
        </is>
      </c>
      <c r="B74" s="6" t="inlineStr">
        <is>
          <t>Admin 內容安全頁：審核事件只按類別統計</t>
        </is>
      </c>
      <c r="C74" s="6" t="inlineStr">
        <is>
          <t>等 P1-01、P2-13</t>
        </is>
      </c>
      <c r="D74" s="11" t="n"/>
      <c r="E74" s="11" t="n"/>
      <c r="F74" s="11" t="n"/>
      <c r="G74" s="11" t="n"/>
      <c r="H74" s="11" t="n"/>
      <c r="I74" s="12" t="n"/>
    </row>
    <row r="75" ht="32" customHeight="1">
      <c r="A75" s="13" t="inlineStr">
        <is>
          <t>P2-15</t>
        </is>
      </c>
      <c r="B75" s="6" t="inlineStr">
        <is>
          <t>Admin 總覽頁：在線、用量、成本與待處理事項</t>
        </is>
      </c>
      <c r="C75" s="6" t="inlineStr">
        <is>
          <t>等 P2-09</t>
        </is>
      </c>
      <c r="D75" s="11" t="n"/>
      <c r="E75" s="11" t="n"/>
      <c r="F75" s="11" t="n"/>
      <c r="G75" s="11" t="n"/>
      <c r="H75" s="11" t="n"/>
      <c r="I75" s="12" t="n"/>
    </row>
    <row r="76" ht="18" customHeight="1">
      <c r="A76" s="13" t="inlineStr">
        <is>
          <t>R-07</t>
        </is>
      </c>
      <c r="B76" s="6" t="inlineStr">
        <is>
          <t>20 個家庭封閉內測</t>
        </is>
      </c>
      <c r="C76" s="6" t="inlineStr">
        <is>
          <t>等 R-13</t>
        </is>
      </c>
      <c r="D76" s="11" t="n"/>
      <c r="E76" s="11" t="n"/>
      <c r="F76" s="11" t="n"/>
      <c r="G76" s="11" t="n"/>
      <c r="H76" s="11" t="n"/>
      <c r="I76" s="12" t="n"/>
    </row>
    <row r="77" ht="18" customHeight="1">
      <c r="A77" s="13" t="inlineStr">
        <is>
          <t>R-08</t>
        </is>
      </c>
      <c r="B77" s="6" t="inlineStr">
        <is>
          <t>第 8 週關卡決策</t>
        </is>
      </c>
      <c r="C77" s="6" t="inlineStr">
        <is>
          <t>等 R-07、P2-09、P1-08</t>
        </is>
      </c>
      <c r="D77" s="11" t="n"/>
      <c r="E77" s="11" t="n"/>
      <c r="F77" s="11" t="n"/>
      <c r="G77" s="11" t="n"/>
      <c r="H77" s="11" t="n"/>
      <c r="I77" s="12" t="n"/>
    </row>
    <row r="78" ht="18" customHeight="1">
      <c r="A78" s="13" t="inlineStr">
        <is>
          <t>R-14</t>
        </is>
      </c>
      <c r="B78" s="6" t="inlineStr">
        <is>
          <t>離線兒歌與故事</t>
        </is>
      </c>
      <c r="C78" s="6" t="inlineStr">
        <is>
          <t>等 R-01</t>
        </is>
      </c>
      <c r="D78" s="11" t="n"/>
      <c r="E78" s="11" t="n"/>
      <c r="F78" s="11" t="n"/>
      <c r="G78" s="11" t="n"/>
      <c r="H78" s="11" t="n"/>
      <c r="I78" s="12" t="n"/>
    </row>
    <row r="79" ht="18" customHeight="1">
      <c r="A79" s="13" t="inlineStr">
        <is>
          <t>R-24</t>
        </is>
      </c>
      <c r="B79" s="6" t="inlineStr">
        <is>
          <t>設備只能用自己品牌的角色</t>
        </is>
      </c>
      <c r="C79" s="6" t="inlineStr">
        <is>
          <t>等 R-34</t>
        </is>
      </c>
      <c r="D79" s="11" t="n"/>
      <c r="E79" s="11" t="n"/>
      <c r="F79" s="11" t="n"/>
      <c r="G79" s="11" t="n"/>
      <c r="H79" s="11" t="n"/>
      <c r="I79" s="12" t="n"/>
    </row>
    <row r="80" ht="18" customHeight="1">
      <c r="A80" s="13" t="inlineStr">
        <is>
          <t>R-28</t>
        </is>
      </c>
      <c r="B80" s="6" t="inlineStr">
        <is>
          <t>三個 App 的殼：品牌版本與測試版</t>
        </is>
      </c>
      <c r="C80" s="6" t="inlineStr">
        <is>
          <t>等 R-25、R-26</t>
        </is>
      </c>
      <c r="D80" s="11" t="n"/>
      <c r="E80" s="11" t="n"/>
      <c r="F80" s="11" t="n"/>
      <c r="G80" s="11" t="n"/>
      <c r="H80" s="11" t="n"/>
      <c r="I80" s="12" t="n"/>
    </row>
    <row r="81" ht="18" customHeight="1">
      <c r="A81" s="13" t="inlineStr">
        <is>
          <t>R-30</t>
        </is>
      </c>
      <c r="B81" s="6" t="inlineStr">
        <is>
          <t>快活 App（品牌 A）頁面</t>
        </is>
      </c>
      <c r="C81" s="6" t="inlineStr">
        <is>
          <t>等 R-25、R-34、Q12</t>
        </is>
      </c>
      <c r="D81" s="11" t="n"/>
      <c r="E81" s="11" t="n"/>
      <c r="F81" s="11" t="n"/>
      <c r="G81" s="11" t="n"/>
      <c r="H81" s="11" t="n"/>
      <c r="I81" s="12" t="n"/>
    </row>
    <row r="82" ht="18" customHeight="1">
      <c r="A82" s="13" t="inlineStr">
        <is>
          <t>R-31</t>
        </is>
      </c>
      <c r="B82" s="6" t="inlineStr">
        <is>
          <t>政協青年聯會版 App（品牌 B）頁面</t>
        </is>
      </c>
      <c r="C82" s="6" t="inlineStr">
        <is>
          <t>等 R-25、R-34、Q13</t>
        </is>
      </c>
      <c r="D82" s="11" t="n"/>
      <c r="E82" s="11" t="n"/>
      <c r="F82" s="11" t="n"/>
      <c r="G82" s="11" t="n"/>
      <c r="H82" s="11" t="n"/>
      <c r="I82" s="12" t="n"/>
    </row>
    <row r="83" ht="18" customHeight="1">
      <c r="A83" s="13" t="inlineStr">
        <is>
          <t>R-35</t>
        </is>
      </c>
      <c r="B83" s="6" t="inlineStr">
        <is>
          <t>韌體按品牌連線：伺服器網址在出廠時寫入</t>
        </is>
      </c>
      <c r="C83" s="6" t="inlineStr">
        <is>
          <t>等 R-34</t>
        </is>
      </c>
      <c r="D83" s="11" t="n"/>
      <c r="E83" s="11" t="n"/>
      <c r="F83" s="11" t="n"/>
      <c r="G83" s="11" t="n"/>
      <c r="H83" s="11" t="n"/>
      <c r="I83" s="12" t="n"/>
    </row>
    <row r="84" ht="32" customHeight="1">
      <c r="A84" s="13" t="inlineStr">
        <is>
          <t>R-38</t>
        </is>
      </c>
      <c r="B84" s="6" t="inlineStr">
        <is>
          <t>公仔出廠鎖死所屬 IP，綁定時顯示該 IP 頭像</t>
        </is>
      </c>
      <c r="C84" s="6" t="inlineStr">
        <is>
          <t>等 P0-11</t>
        </is>
      </c>
      <c r="D84" s="11" t="n"/>
      <c r="E84" s="11" t="n"/>
      <c r="F84" s="11" t="n"/>
      <c r="G84" s="11" t="n"/>
      <c r="H84" s="11" t="n"/>
      <c r="I84" s="12" t="n"/>
    </row>
    <row r="85" ht="32" customHeight="1">
      <c r="A85" s="13" t="inlineStr">
        <is>
          <t>R-39</t>
        </is>
      </c>
      <c r="B85" s="6" t="inlineStr">
        <is>
          <t>Admin 出廠登記頁：匯入 MAC 清單、指定公仔、查看自檢結果</t>
        </is>
      </c>
      <c r="C85" s="6" t="inlineStr">
        <is>
          <t>等 R-38、P1-10</t>
        </is>
      </c>
      <c r="D85" s="11" t="n"/>
      <c r="E85" s="11" t="n"/>
      <c r="F85" s="11" t="n"/>
      <c r="G85" s="11" t="n"/>
      <c r="H85" s="11" t="n"/>
      <c r="I85" s="12" t="n"/>
    </row>
    <row r="86" ht="18" customHeight="1">
      <c r="A86" s="13" t="inlineStr">
        <is>
          <t>R-09</t>
        </is>
      </c>
      <c r="B86" s="6" t="inlineStr">
        <is>
          <t>量產外殼（真空複模）</t>
        </is>
      </c>
      <c r="C86" s="6" t="inlineStr">
        <is>
          <t>等 R-08、R-05、Q11</t>
        </is>
      </c>
      <c r="D86" s="11" t="n"/>
      <c r="E86" s="11" t="n"/>
      <c r="F86" s="11" t="n"/>
      <c r="G86" s="11" t="n"/>
      <c r="H86" s="11" t="n"/>
      <c r="I86" s="12" t="n"/>
    </row>
    <row r="87" ht="18" customHeight="1">
      <c r="A87" s="13" t="inlineStr">
        <is>
          <t>R-10</t>
        </is>
      </c>
      <c r="B87" s="6" t="inlineStr">
        <is>
          <t>出廠流程</t>
        </is>
      </c>
      <c r="C87" s="6" t="inlineStr">
        <is>
          <t>等 P0-14、R-01、P2-12、R-34、R-35、R-38、R-39</t>
        </is>
      </c>
      <c r="D87" s="11" t="n"/>
      <c r="E87" s="11" t="n"/>
      <c r="F87" s="11" t="n"/>
      <c r="G87" s="11" t="n"/>
      <c r="H87" s="11" t="n"/>
      <c r="I87" s="12" t="n"/>
    </row>
    <row r="88" ht="18" customHeight="1">
      <c r="A88" s="13" t="inlineStr">
        <is>
          <t>R-11</t>
        </is>
      </c>
      <c r="B88" s="6" t="inlineStr">
        <is>
          <t>售後：客服、保修與換機</t>
        </is>
      </c>
      <c r="C88" s="6" t="inlineStr">
        <is>
          <t>等 R-40</t>
        </is>
      </c>
      <c r="D88" s="11" t="n"/>
      <c r="E88" s="11" t="n"/>
      <c r="F88" s="11" t="n"/>
      <c r="G88" s="11" t="n"/>
      <c r="H88" s="11" t="n"/>
      <c r="I88" s="12" t="n"/>
    </row>
    <row r="89" ht="18" customHeight="1">
      <c r="A89" s="13" t="inlineStr">
        <is>
          <t>R-15</t>
        </is>
      </c>
      <c r="B89" s="6" t="inlineStr">
        <is>
          <t>農曆新年前交付（生產 1/15、送達 1/29）</t>
        </is>
      </c>
      <c r="C89" s="6" t="inlineStr">
        <is>
          <t>等 R-09、R-10</t>
        </is>
      </c>
      <c r="D89" s="11" t="n"/>
      <c r="E89" s="11" t="n"/>
      <c r="F89" s="11" t="n"/>
      <c r="G89" s="11" t="n"/>
      <c r="H89" s="11" t="n"/>
      <c r="I89" s="12" t="n"/>
    </row>
    <row r="90" ht="18" customHeight="1">
      <c r="A90" s="13" t="inlineStr">
        <is>
          <t>R-33</t>
        </is>
      </c>
      <c r="B90" s="6" t="inlineStr">
        <is>
          <t>三個 App 送審並通過</t>
        </is>
      </c>
      <c r="C90" s="6" t="inlineStr">
        <is>
          <t>等 R-27、R-21、R-28、R-29、R-30、R-31、R-32</t>
        </is>
      </c>
      <c r="D90" s="11" t="n"/>
      <c r="E90" s="11" t="n"/>
      <c r="F90" s="11" t="n"/>
      <c r="G90" s="11" t="n"/>
      <c r="H90" s="11" t="n"/>
      <c r="I90" s="12" t="n"/>
    </row>
    <row r="91" ht="32" customHeight="1">
      <c r="A91" s="13" t="inlineStr">
        <is>
          <t>R-40</t>
        </is>
      </c>
      <c r="B91" s="6" t="inlineStr">
        <is>
          <t>Admin 客服查詢頁：查帳號、名下設備與最近事件</t>
        </is>
      </c>
      <c r="C91" s="6" t="inlineStr">
        <is>
          <t>等 P1-10、P1-12</t>
        </is>
      </c>
      <c r="D91" s="11" t="n"/>
      <c r="E91" s="11" t="n"/>
      <c r="F91" s="11" t="n"/>
      <c r="G91" s="11" t="n"/>
      <c r="H91" s="11" t="n"/>
      <c r="I91" s="12" t="n"/>
    </row>
    <row r="93">
      <c r="A93" s="10" t="inlineStr">
        <is>
          <t>❓ 待確認問題</t>
        </is>
      </c>
    </row>
    <row r="94">
      <c r="A94" s="4" t="inlineStr">
        <is>
          <t>編號</t>
        </is>
      </c>
      <c r="B94" s="4" t="inlineStr">
        <is>
          <t>問題</t>
        </is>
      </c>
      <c r="C94" s="4" t="inlineStr">
        <is>
          <t>影響的任務 / 為什麼重要</t>
        </is>
      </c>
      <c r="D94" s="11" t="n"/>
      <c r="E94" s="11" t="n"/>
      <c r="F94" s="11" t="n"/>
      <c r="G94" s="11" t="n"/>
      <c r="H94" s="11" t="n"/>
      <c r="I94" s="12" t="n"/>
    </row>
    <row r="95" ht="18" customHeight="1">
      <c r="A95" s="13" t="inlineStr">
        <is>
          <t>Q3</t>
        </is>
      </c>
      <c r="B95" s="6" t="inlineStr">
        <is>
          <t>韌體打算閉源商業銷售嗎？</t>
        </is>
      </c>
      <c r="C95" s="6" t="inlineStr">
        <is>
          <t>P1-06, P1-07：決定 GPL／LGPL 依賴要開源還是替換。</t>
        </is>
      </c>
      <c r="D95" s="11" t="n"/>
      <c r="E95" s="11" t="n"/>
      <c r="F95" s="11" t="n"/>
      <c r="G95" s="11" t="n"/>
      <c r="H95" s="11" t="n"/>
      <c r="I95" s="12" t="n"/>
    </row>
    <row r="96" ht="32" customHeight="1">
      <c r="A96" s="13" t="inlineStr">
        <is>
          <t>Q11</t>
        </is>
      </c>
      <c r="B96" s="6" t="inlineStr">
        <is>
          <t>馬會快活的賽馬日版和新春版各多少隻（共 2,500）？</t>
        </is>
      </c>
      <c r="C96" s="6" t="inlineStr">
        <is>
          <t>R-09, R-15：兩款的服裝和配件要分開訂料；11/20 前不知道，PP 樣和大貨單（11/27）會被拖慢。由馬會決定。</t>
        </is>
      </c>
      <c r="D96" s="11" t="n"/>
      <c r="E96" s="11" t="n"/>
      <c r="F96" s="11" t="n"/>
      <c r="G96" s="11" t="n"/>
      <c r="H96" s="11" t="n"/>
      <c r="I96" s="12" t="n"/>
    </row>
    <row r="97" ht="60" customHeight="1">
      <c r="A97" s="13" t="inlineStr">
        <is>
          <t>Q12</t>
        </is>
      </c>
      <c r="B97" s="6" t="inlineStr">
        <is>
          <t>快活 App 的「會員綁定」是指甚麼：用我們自己的帳號（email 驗證碼），還是接馬會的會員帳號登入（SSO）？</t>
        </is>
      </c>
      <c r="C97" s="6" t="inlineStr">
        <is>
          <t>P0-11, 快活 App（未入追蹤表）：接馬會 SSO 的話，登入、帳號刪除和資料歸屬都要按馬會的介面重做，工作量和排期要另估，而且 W5（11/9–11/13）就要做快活 App 的綁定；用我們的帳號則和其他品牌共用同一套流程。由馬會決定，要盡早問。</t>
        </is>
      </c>
      <c r="D97" s="11" t="n"/>
      <c r="E97" s="11" t="n"/>
      <c r="F97" s="11" t="n"/>
      <c r="G97" s="11" t="n"/>
      <c r="H97" s="11" t="n"/>
      <c r="I97" s="12" t="n"/>
    </row>
    <row r="98" ht="46" customHeight="1">
      <c r="A98" s="13" t="inlineStr">
        <is>
          <t>Q13</t>
        </is>
      </c>
      <c r="B98" s="6" t="inlineStr">
        <is>
          <t>政協青年聯會版的角色、語言和內容由誰提供？什麼時候交？</t>
        </is>
      </c>
      <c r="C98" s="6" t="inlineStr">
        <is>
          <t>品牌 B 的 App 頁面：品牌 B 的用戶是成人會員，但角色、說話語言、內容規則都還沒有。最遲 11/13 要拿到，才趕得及內部測試和 App 頁面（W6）。</t>
        </is>
      </c>
      <c r="D98" s="11" t="n"/>
      <c r="E98" s="11" t="n"/>
      <c r="F98" s="11" t="n"/>
      <c r="G98" s="11" t="n"/>
      <c r="H98" s="11" t="n"/>
      <c r="I98" s="12" t="n"/>
    </row>
    <row r="100">
      <c r="A100" s="10" t="inlineStr">
        <is>
          <t>說明</t>
        </is>
      </c>
    </row>
    <row r="101" ht="32" customHeight="1">
      <c r="A101" s="14" t="inlineStr">
        <is>
          <t>・狀態：未開始 → 進行中 → 已完成。只有測試真的跑過而且通過才算已完成；阻塞要在備註寫原因；不再需要的任務標不適用，不要刪。</t>
        </is>
      </c>
    </row>
    <row r="102" ht="18" customHeight="1">
      <c r="A102" s="14" t="inlineStr">
        <is>
          <t>・測試結果：未測試 / 通過 / 失敗 / 部分通過。測試證據寫跑了什麼、看到什麼，完整歷史在「更新記錄」。</t>
        </is>
      </c>
    </row>
    <row r="103" ht="18" customHeight="1">
      <c r="A103" s="14" t="inlineStr">
        <is>
          <t>・「接下來」按階段排序，同一階段內再按優先級；依賴還沒滿足的任務不會出現在「接下來」。</t>
        </is>
      </c>
    </row>
    <row r="104" ht="18" customHeight="1">
      <c r="A104" s="14" t="inlineStr">
        <is>
          <t>・可以手動改：「任務清單」的狀態、測試結果、測試證據、Commit、備註，以及「待確認問題」的回答。其餘欄位和本頁由腳本維護。</t>
        </is>
      </c>
    </row>
    <row r="105" ht="32" customHeight="1">
      <c r="A105" s="14" t="inlineStr">
        <is>
          <t>・建議用法：在 Claude Code 對 Claude 說「P0-02 做完了」或輸入 /prod-readiness。Claude 會先跑測試再更新，並寫進「更新記錄」。</t>
        </is>
      </c>
    </row>
  </sheetData>
  <mergeCells count="86">
    <mergeCell ref="C82:I82"/>
    <mergeCell ref="E52:I52"/>
    <mergeCell ref="E39:I39"/>
    <mergeCell ref="C67:I67"/>
    <mergeCell ref="E48:I48"/>
    <mergeCell ref="A101:I101"/>
    <mergeCell ref="A2:I2"/>
    <mergeCell ref="E29:I29"/>
    <mergeCell ref="E38:I38"/>
    <mergeCell ref="C83:I83"/>
    <mergeCell ref="E31:I31"/>
    <mergeCell ref="E40:I40"/>
    <mergeCell ref="C97:I97"/>
    <mergeCell ref="A19:I19"/>
    <mergeCell ref="E26:I26"/>
    <mergeCell ref="A103:I103"/>
    <mergeCell ref="E25:I25"/>
    <mergeCell ref="C95:I95"/>
    <mergeCell ref="C60:I60"/>
    <mergeCell ref="C71:I71"/>
    <mergeCell ref="E50:I50"/>
    <mergeCell ref="E42:I42"/>
    <mergeCell ref="C91:I91"/>
    <mergeCell ref="A105:I105"/>
    <mergeCell ref="C57:I57"/>
    <mergeCell ref="C66:I66"/>
    <mergeCell ref="E20:I20"/>
    <mergeCell ref="E28:I28"/>
    <mergeCell ref="C77:I77"/>
    <mergeCell ref="C86:I86"/>
    <mergeCell ref="C68:I68"/>
    <mergeCell ref="A100:I100"/>
    <mergeCell ref="C58:I58"/>
    <mergeCell ref="E30:I30"/>
    <mergeCell ref="E22:I22"/>
    <mergeCell ref="A93:I93"/>
    <mergeCell ref="E46:I46"/>
    <mergeCell ref="A102:I102"/>
    <mergeCell ref="C85:I85"/>
    <mergeCell ref="C94:I94"/>
    <mergeCell ref="C65:I65"/>
    <mergeCell ref="C75:I75"/>
    <mergeCell ref="C84:I84"/>
    <mergeCell ref="C80:I80"/>
    <mergeCell ref="E32:I32"/>
    <mergeCell ref="C59:I59"/>
    <mergeCell ref="A1:I1"/>
    <mergeCell ref="E41:I41"/>
    <mergeCell ref="E47:I47"/>
    <mergeCell ref="C61:I61"/>
    <mergeCell ref="C70:I70"/>
    <mergeCell ref="E24:I24"/>
    <mergeCell ref="E33:I33"/>
    <mergeCell ref="A3:I3"/>
    <mergeCell ref="A55:I55"/>
    <mergeCell ref="A104:I104"/>
    <mergeCell ref="E35:I35"/>
    <mergeCell ref="C74:I74"/>
    <mergeCell ref="C88:I88"/>
    <mergeCell ref="E45:I45"/>
    <mergeCell ref="E37:I37"/>
    <mergeCell ref="E21:I21"/>
    <mergeCell ref="E23:I23"/>
    <mergeCell ref="C72:I72"/>
    <mergeCell ref="C81:I81"/>
    <mergeCell ref="C69:I69"/>
    <mergeCell ref="E51:I51"/>
    <mergeCell ref="C96:I96"/>
    <mergeCell ref="C78:I78"/>
    <mergeCell ref="C87:I87"/>
    <mergeCell ref="C62:I62"/>
    <mergeCell ref="C98:I98"/>
    <mergeCell ref="C89:I89"/>
    <mergeCell ref="E34:I34"/>
    <mergeCell ref="C64:I64"/>
    <mergeCell ref="C79:I79"/>
    <mergeCell ref="C73:I73"/>
    <mergeCell ref="A44:I44"/>
    <mergeCell ref="E49:I49"/>
    <mergeCell ref="E27:I27"/>
    <mergeCell ref="E36:I36"/>
    <mergeCell ref="C63:I63"/>
    <mergeCell ref="C56:I56"/>
    <mergeCell ref="C90:I90"/>
    <mergeCell ref="E53:I53"/>
    <mergeCell ref="C76:I76"/>
  </mergeCells>
  <conditionalFormatting sqref="I6:I10">
    <cfRule type="dataBar" priority="1">
      <dataBar>
        <cfvo type="num" val="0"/>
        <cfvo type="num" val="1"/>
        <color rgb="0063BE7B"/>
      </dataBar>
    </cfRule>
  </conditionalFormatting>
  <conditionalFormatting sqref="I13:I17">
    <cfRule type="dataBar" priority="2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8"/>
  <sheetViews>
    <sheetView tabSelected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3" customWidth="1" min="4" max="4"/>
    <col width="30" customWidth="1" min="5" max="5"/>
    <col width="9" customWidth="1" min="6" max="6"/>
    <col width="10" customWidth="1" min="7" max="7"/>
    <col width="12" customWidth="1" min="8" max="8"/>
    <col width="46" customWidth="1" min="9" max="9"/>
    <col width="42" customWidth="1" min="10" max="10"/>
    <col width="46" customWidth="1" min="11" max="11"/>
    <col width="46" customWidth="1" min="12" max="12"/>
    <col width="12" customWidth="1" min="13" max="13"/>
    <col width="44" customWidth="1" min="14" max="14"/>
    <col width="10" customWidth="1" min="15" max="15"/>
    <col width="32" customWidth="1" min="16" max="16"/>
  </cols>
  <sheetData>
    <row r="1" ht="22" customHeight="1">
      <c r="A1" s="4" t="inlineStr">
        <is>
          <t>編號</t>
        </is>
      </c>
      <c r="B1" s="4" t="inlineStr">
        <is>
          <t>優先級</t>
        </is>
      </c>
      <c r="C1" s="4" t="inlineStr">
        <is>
          <t>階段</t>
        </is>
      </c>
      <c r="D1" s="4" t="inlineStr">
        <is>
          <t>類別</t>
        </is>
      </c>
      <c r="E1" s="4" t="inlineStr">
        <is>
          <t>任務</t>
        </is>
      </c>
      <c r="F1" s="4" t="inlineStr">
        <is>
          <t>狀態</t>
        </is>
      </c>
      <c r="G1" s="4" t="inlineStr">
        <is>
          <t>測試結果</t>
        </is>
      </c>
      <c r="H1" s="4" t="inlineStr">
        <is>
          <t>完成日期</t>
        </is>
      </c>
      <c r="I1" s="4" t="inlineStr">
        <is>
          <t>問題 / 風險</t>
        </is>
      </c>
      <c r="J1" s="4" t="inlineStr">
        <is>
          <t>相關位置</t>
        </is>
      </c>
      <c r="K1" s="4" t="inlineStr">
        <is>
          <t>驗收標準</t>
        </is>
      </c>
      <c r="L1" s="4" t="inlineStr">
        <is>
          <t>測試方法</t>
        </is>
      </c>
      <c r="M1" s="4" t="inlineStr">
        <is>
          <t>依賴</t>
        </is>
      </c>
      <c r="N1" s="4" t="inlineStr">
        <is>
          <t>測試證據</t>
        </is>
      </c>
      <c r="O1" s="4" t="inlineStr">
        <is>
          <t>Commit</t>
        </is>
      </c>
      <c r="P1" s="4" t="inlineStr">
        <is>
          <t>備註</t>
        </is>
      </c>
    </row>
    <row r="2" ht="74" customHeight="1">
      <c r="A2" s="13" t="inlineStr">
        <is>
          <t>P0-01</t>
        </is>
      </c>
      <c r="B2" s="13" t="inlineStr">
        <is>
          <t>P0</t>
        </is>
      </c>
      <c r="C2" s="13" t="inlineStr">
        <is>
          <t>1 止血定案</t>
        </is>
      </c>
      <c r="D2" s="6" t="inlineStr">
        <is>
          <t>安全-驗證</t>
        </is>
      </c>
      <c r="E2" s="6" t="inlineStr">
        <is>
          <t>確認線上環境的暴露面</t>
        </is>
      </c>
      <c r="F2" s="13" t="inlineStr">
        <is>
          <t>不適用</t>
        </is>
      </c>
      <c r="G2" s="13" t="inlineStr">
        <is>
          <t>未測試</t>
        </is>
      </c>
      <c r="H2" s="13" t="n"/>
      <c r="I2" s="6" t="inlineStr">
        <is>
          <t>本機 supabase_db_ElatoAI 已確認 RLS 全開、anon 擁有敏感表的全部權限；線上 elatoai.hkqft.com 尚未驗證，它決定 P0 要多急。</t>
        </is>
      </c>
      <c r="J2" s="6" t="inlineStr">
        <is>
          <t>https://elatoai.hkqft.com/supabase-api
frontend-nextjs/app/api/generate_auth_token/route.ts</t>
        </is>
      </c>
      <c r="K2" s="6" t="inlineStr">
        <is>
          <t>取得用戶批准後做只讀探測，逐項記錄 P0-02、P0-03、P0-04、P0-06 在線上是否成立。</t>
        </is>
      </c>
      <c r="L2" s="6" t="inlineStr">
        <is>
          <t>用 anon key 對 /supabase-api/rest/v1/{conversations,users,devices} 發 HEAD 請求並帶 Prefer: count=exact，只看 Content-Range 的總數，不讀任何內容。</t>
        </is>
      </c>
      <c r="M2" s="13" t="n"/>
      <c r="N2" s="6" t="n"/>
      <c r="O2" s="13" t="n"/>
      <c r="P2" s="6" t="inlineStr">
        <is>
          <t>探測線上必須先得到用戶在對話中明確批准。
[2026-09-30] Q2：目前沒有真實家庭使用，緊急度已確定；線上驗證改為每項修復部署後各自做。</t>
        </is>
      </c>
    </row>
    <row r="3" ht="228" customHeight="1">
      <c r="A3" s="13" t="inlineStr">
        <is>
          <t>P0-02</t>
        </is>
      </c>
      <c r="B3" s="13" t="inlineStr">
        <is>
          <t>P0</t>
        </is>
      </c>
      <c r="C3" s="13" t="inlineStr">
        <is>
          <t>1 止血定案</t>
        </is>
      </c>
      <c r="D3" s="6" t="inlineStr">
        <is>
          <t>安全-資料庫</t>
        </is>
      </c>
      <c r="E3" s="6" t="inlineStr">
        <is>
          <t>收緊 conversations 表的 RLS</t>
        </is>
      </c>
      <c r="F3" s="13" t="inlineStr">
        <is>
          <t>已完成</t>
        </is>
      </c>
      <c r="G3" s="13" t="inlineStr">
        <is>
          <t>通過</t>
        </is>
      </c>
      <c r="H3" s="13" t="inlineStr">
        <is>
          <t>2026-10-12</t>
        </is>
      </c>
      <c r="I3" s="6" t="inlineStr">
        <is>
          <t>policy「PUBLIC conversations」對所有角色 ALL USING(true)：任何拿到前端 anon key 的人都能讀、改、刪所有孩子的對話記錄。</t>
        </is>
      </c>
      <c r="J3" s="6" t="inlineStr">
        <is>
          <t>supabase/migrations/20250417155518_remote_schema.sql:404
server/fastapi/memory/store.py:310</t>
        </is>
      </c>
      <c r="K3" s="6" t="inlineStr">
        <is>
          <t>刪除該 policy；authenticated 只能 SELECT／DELETE 自己 user_id 的行；寫入只經 service_role；anon 無任何存取。</t>
        </is>
      </c>
      <c r="L3" s="6" t="inlineStr">
        <is>
          <t>① 本機 psql 查 pg_policies，conversations 沒有 qual=true 的 policy
② 用 anon key 呼叫 REST 讀取，回傳 0 行
③ 用戶 A 的 JWT 讀不到用戶 B 的對話
④ 跑一次語音對話，新行照常寫入</t>
        </is>
      </c>
      <c r="M3" s="13" t="n"/>
      <c r="N3" s="6" t="inlineStr">
        <is>
          <t>線上 2026-10-12（bac24e9）：用網站 bundle 裡的 anon key GET conversations/memory_facts/memory_segments/memories → 42501；10/08 runbook 伺服器端檢查：anon 無授權、無 USING(true)、無管理員 policy 觸及記憶表，25/25 通過；authenticated 分戶隔離沿用本機實測</t>
        </is>
      </c>
      <c r="O3" s="13" t="inlineStr">
        <is>
          <t>e3dfb35</t>
        </is>
      </c>
      <c r="P3" s="6" t="inlineStr">
        <is>
          <t>[2026-10-07] 2026-10-07：migration 20261007130000_lock_down_users_devices_conversations.sql 已寫好並在本機驗證通過，尚未提交。上線順序：先部署新前端（舊前端在新規則下無法建新用戶、無法認領）→ 再在線上 docker exec psql -1 套用 migration → 用線上前端實際的 anon key 重跑 anon GET/PATCH，通過後才標完成。
[2026-10-07] 2026-10-07：用戶決定延後部署，與後續任務合併成一批上線。mygithub/main 與 GHCR :latest 已是新版（da98048 起），主機在跑 runbook 前不可 docker compose pull。</t>
        </is>
      </c>
    </row>
    <row r="4" ht="228" customHeight="1">
      <c r="A4" s="13" t="inlineStr">
        <is>
          <t>P0-03</t>
        </is>
      </c>
      <c r="B4" s="13" t="inlineStr">
        <is>
          <t>P0</t>
        </is>
      </c>
      <c r="C4" s="13" t="inlineStr">
        <is>
          <t>1 止血定案</t>
        </is>
      </c>
      <c r="D4" s="6" t="inlineStr">
        <is>
          <t>安全-資料庫</t>
        </is>
      </c>
      <c r="E4" s="6" t="inlineStr">
        <is>
          <t>收緊 users 表的 RLS</t>
        </is>
      </c>
      <c r="F4" s="13" t="inlineStr">
        <is>
          <t>已完成</t>
        </is>
      </c>
      <c r="G4" s="13" t="inlineStr">
        <is>
          <t>通過</t>
        </is>
      </c>
      <c r="H4" s="13" t="inlineStr">
        <is>
          <t>2026-10-12</t>
        </is>
      </c>
      <c r="I4" s="6" t="inlineStr">
        <is>
          <t>「Update user table」允許 anon UPDATE 任何用戶；「Enable read access for all users」讓任何人讀取全部用戶（email、孩子姓名、年齡、個性描述）。</t>
        </is>
      </c>
      <c r="J4" s="6" t="inlineStr">
        <is>
          <t>supabase/migrations/20250417155518_remote_schema.sql:392, :408</t>
        </is>
      </c>
      <c r="K4" s="6" t="inlineStr">
        <is>
          <t>移除 anon UPDATE 與公開 SELECT；用戶只能讀、改自己那一行；service_role 不受影響。</t>
        </is>
      </c>
      <c r="L4" s="6" t="inlineStr">
        <is>
          <t>① anon GET /rest/v1/users 回傳 0 行
② anon PATCH 失敗
③ 用戶 A 讀不到用戶 B
④ Web 設定頁保存孩子資料正常</t>
        </is>
      </c>
      <c r="M4" s="13" t="n"/>
      <c r="N4" s="6" t="inlineStr">
        <is>
          <t>線上 2026-10-12（bac24e9）：anon GET users → 42501；anon PATCH users（不存在的 user_id）→ 42501 permission denied；runbook 伺服器端 anon 無授權、無 USING(true)；分戶讀改沿用本機實測</t>
        </is>
      </c>
      <c r="O4" s="13" t="inlineStr">
        <is>
          <t>e3dfb35</t>
        </is>
      </c>
      <c r="P4" s="6" t="inlineStr">
        <is>
          <t>[2026-10-07] 2026-10-07：migration 20261007130000_lock_down_users_devices_conversations.sql 已寫好並在本機驗證通過，尚未提交。上線順序：先部署新前端（舊前端在新規則下無法建新用戶、無法認領）→ 再在線上 docker exec psql -1 套用 migration → 用線上前端實際的 anon key 重跑 anon GET/PATCH，通過後才標完成。
[2026-10-07] 2026-10-07：用戶決定延後部署，與後續任務合併成一批上線。mygithub/main 與 GHCR :latest 已是新版（da98048 起），主機在跑 runbook 前不可 docker compose pull。</t>
        </is>
      </c>
    </row>
    <row r="5" ht="228" customHeight="1">
      <c r="A5" s="13" t="inlineStr">
        <is>
          <t>P0-04</t>
        </is>
      </c>
      <c r="B5" s="13" t="inlineStr">
        <is>
          <t>P0</t>
        </is>
      </c>
      <c r="C5" s="13" t="inlineStr">
        <is>
          <t>1 止血定案</t>
        </is>
      </c>
      <c r="D5" s="6" t="inlineStr">
        <is>
          <t>安全-資料庫</t>
        </is>
      </c>
      <c r="E5" s="6" t="inlineStr">
        <is>
          <t>收緊 devices 表的 RLS</t>
        </is>
      </c>
      <c r="F5" s="13" t="inlineStr">
        <is>
          <t>已完成</t>
        </is>
      </c>
      <c r="G5" s="13" t="inlineStr">
        <is>
          <t>通過</t>
        </is>
      </c>
      <c r="H5" s="13" t="inlineStr">
        <is>
          <t>2026-10-12</t>
        </is>
      </c>
      <c r="I5" s="6" t="inlineStr">
        <is>
          <t>任何人可 SELECT 全部設備（含 MAC），也可 UPDATE 任何設備：改掉 user_id 就能把別人的玩具綁到自己帳號。</t>
        </is>
      </c>
      <c r="J5" s="6" t="inlineStr">
        <is>
          <t>supabase/migrations/20250417155518_remote_schema.sql:381, :421</t>
        </is>
      </c>
      <c r="K5" s="6" t="inlineStr">
        <is>
          <t>只有擁有者可讀自己的設備；認領、解綁改走 server action + service_role；anon 無存取。</t>
        </is>
      </c>
      <c r="L5" s="6" t="inlineStr">
        <is>
          <t>① anon GET /rest/v1/devices 回傳 0 行
② anon PATCH user_id 失敗
③ Web 端認領、解綁、調音量流程正常</t>
        </is>
      </c>
      <c r="M5" s="13" t="n"/>
      <c r="N5" s="6" t="inlineStr">
        <is>
          <t>線上 2026-10-12（bac24e9）：anon GET devices/device_secrets → 42501；anon PATCH devices（不存在的 user_id）→ 42501；認領／解綁網頁流程沿用本機實測</t>
        </is>
      </c>
      <c r="O5" s="13" t="inlineStr">
        <is>
          <t>e3dfb35</t>
        </is>
      </c>
      <c r="P5" s="6" t="inlineStr">
        <is>
          <t>[2026-10-07] 2026-10-07：migration 20261007130000_lock_down_users_devices_conversations.sql 已寫好並在本機驗證通過，尚未提交。上線順序：先部署新前端（舊前端在新規則下無法建新用戶、無法認領）→ 再在線上 docker exec psql -1 套用 migration → 用線上前端實際的 anon key 重跑 anon GET/PATCH，通過後才標完成。
[2026-10-07] 2026-10-07：用戶決定延後部署，與後續任務合併成一批上線。mygithub/main 與 GHCR :latest 已是新版（da98048 起），主機在跑 runbook 前不可 docker compose pull。</t>
        </is>
      </c>
    </row>
    <row r="6" ht="228" customHeight="1">
      <c r="A6" s="13" t="inlineStr">
        <is>
          <t>P0-05</t>
        </is>
      </c>
      <c r="B6" s="13" t="inlineStr">
        <is>
          <t>P0</t>
        </is>
      </c>
      <c r="C6" s="13" t="inlineStr">
        <is>
          <t>1 止血定案</t>
        </is>
      </c>
      <c r="D6" s="6" t="inlineStr">
        <is>
          <t>安全-資料庫</t>
        </is>
      </c>
      <c r="E6" s="6" t="inlineStr">
        <is>
          <t>撤銷敏感表的多餘授權</t>
        </is>
      </c>
      <c r="F6" s="13" t="inlineStr">
        <is>
          <t>已完成</t>
        </is>
      </c>
      <c r="G6" s="13" t="inlineStr">
        <is>
          <t>通過</t>
        </is>
      </c>
      <c r="H6" s="13" t="inlineStr">
        <is>
          <t>2026-10-12</t>
        </is>
      </c>
      <c r="I6" s="6" t="inlineStr">
        <is>
          <t>anon 與 authenticated 對 users／devices／conversations 擁有 TRUNCATE、DELETE、UPDATE 等全部權限；RLS 只要寫錯一條就全面失守。</t>
        </is>
      </c>
      <c r="J6" s="6" t="inlineStr">
        <is>
          <t>information_schema.role_table_grants（本機已查證）</t>
        </is>
      </c>
      <c r="K6" s="6" t="inlineStr">
        <is>
          <t>anon 對這三張表沒有任何權限；authenticated 只保留必要權限，沒有 TRUNCATE。</t>
        </is>
      </c>
      <c r="L6" s="6" t="inlineStr">
        <is>
          <t>psql 查 information_schema.role_table_grants：anon 對三張表沒有記錄，authenticated 沒有 TRUNCATE。</t>
        </is>
      </c>
      <c r="M6" s="13" t="n"/>
      <c r="N6" s="6" t="inlineStr">
        <is>
          <t>線上 2026-10-12（bac24e9）：anon 對 users/devices/conversations 等 10 張私人表 GET 全部 42501（授權層拒絕）；runbook psql：role_table_grants anon=0；authenticated 權限沿用本機 role_table_grants 實測</t>
        </is>
      </c>
      <c r="O6" s="13" t="inlineStr">
        <is>
          <t>e3dfb35</t>
        </is>
      </c>
      <c r="P6" s="6" t="inlineStr">
        <is>
          <t>[2026-10-07] 2026-10-07：migration 20261007130000_lock_down_users_devices_conversations.sql 已寫好並在本機驗證通過，尚未提交。上線順序：先部署新前端（舊前端在新規則下無法建新用戶、無法認領）→ 再在線上 docker exec psql -1 套用 migration → 用線上前端實際的 anon key 重跑 anon GET/PATCH，通過後才標完成。
[2026-10-07] 2026-10-07：用戶決定延後部署，與後續任務合併成一批上線。mygithub/main 與 GHCR :latest 已是新版（da98048 起），主機在跑 runbook 前不可 docker compose pull。</t>
        </is>
      </c>
    </row>
    <row r="7" ht="340" customHeight="1">
      <c r="A7" s="13" t="inlineStr">
        <is>
          <t>P0-06</t>
        </is>
      </c>
      <c r="B7" s="13" t="inlineStr">
        <is>
          <t>P0</t>
        </is>
      </c>
      <c r="C7" s="13" t="inlineStr">
        <is>
          <t>1 止血定案</t>
        </is>
      </c>
      <c r="D7" s="6" t="inlineStr">
        <is>
          <t>安全-認證</t>
        </is>
      </c>
      <c r="E7" s="6" t="inlineStr">
        <is>
          <t>停止憑 MAC 發放永久用戶 JWT</t>
        </is>
      </c>
      <c r="F7" s="13" t="inlineStr">
        <is>
          <t>已完成</t>
        </is>
      </c>
      <c r="G7" s="13" t="inlineStr">
        <is>
          <t>通過</t>
        </is>
      </c>
      <c r="H7" s="13" t="inlineStr">
        <is>
          <t>2026-10-12</t>
        </is>
      </c>
      <c r="I7" s="6" t="inlineStr">
        <is>
          <t>/api/generate_auth_token 只憑 MAC 就發出 role=authenticated、sub=家長 user_id、沒有過期時間的 JWT；配合 P0-04 讀到的 MAC 清單，可以接管所有家長帳號。</t>
        </is>
      </c>
      <c r="J7" s="6" t="inlineStr">
        <is>
          <t>frontend-nextjs/app/api/generate_auth_token/route.ts:195</t>
        </is>
      </c>
      <c r="K7" s="6" t="inlineStr">
        <is>
          <t>設備首次連線時一次性下發設備密鑰；之後用密鑰換短期（≤24 小時）設備 token，權限只限設備本身，不再是家長 session。</t>
        </is>
      </c>
      <c r="L7" s="6" t="inlineStr">
        <is>
          <t>① 只知 MAC 的請求拿不到任何 token
② 過期 token 被拒
③ 設備 token 讀不到 users／conversations
④ 實機配對、對話端到端正常</t>
        </is>
      </c>
      <c r="M7" s="13" t="n"/>
      <c r="N7" s="6" t="inlineStr">
        <is>
          <t>線上 2026-10-12（bac24e9）：POST /api/generate_auth_token 只帶 42:34 的 MAC → 401、帶錯誤密鑰 → 401、GET → 410；42:34 用 NVS 密鑰在線上換 token 並連上語音伺服器（P0-13 10/09 實測）</t>
        </is>
      </c>
      <c r="O7" s="13" t="inlineStr">
        <is>
          <t>da98048</t>
        </is>
      </c>
      <c r="P7" s="6" t="inlineStr">
        <is>
          <t>[2026-10-07] 2026-10-07：實作＝device_secrets 表（20261007150000）＋lib/deviceAuth.ts＋generate_auth_token 改 POST＋韌體密鑰存 NVS「device」、token 只放 RAM、斷線時續期。上線必須三者一起：前端、語音伺服器、韌體；兩邊 env 都要先設同一個 DEVICE_JWT_SECRET；雲端已配對的測試板要重燒。NVS 被清的板子要刪 device_secrets 那行才能重新領密鑰。
[2026-10-07] 2026-10-07：本機全部驗收通過（commit da98048），仍保持進行中：線上尚未部署。上線順序：兩邊 env 設同一個 DEVICE_JWT_SECRET → 套用 20261007150000 → 部署前端與語音伺服器 → 重燒雲端測試板。
[2026-10-07] 2026-10-07：用戶決定延後部署，與後續任務合併成一批上線。mygithub/main 與 GHCR :latest 已是新版（da98048 起），主機在跑 runbook 前不可 docker compose pull。</t>
        </is>
      </c>
    </row>
    <row r="8" ht="172" customHeight="1">
      <c r="A8" s="13" t="inlineStr">
        <is>
          <t>P0-07</t>
        </is>
      </c>
      <c r="B8" s="13" t="inlineStr">
        <is>
          <t>P0</t>
        </is>
      </c>
      <c r="C8" s="13" t="inlineStr">
        <is>
          <t>1 止血定案</t>
        </is>
      </c>
      <c r="D8" s="6" t="inlineStr">
        <is>
          <t>安全-認證</t>
        </is>
      </c>
      <c r="E8" s="6" t="inlineStr">
        <is>
          <t>輪換 JWT secret，作廢已發出的 token</t>
        </is>
      </c>
      <c r="F8" s="13" t="inlineStr">
        <is>
          <t>進行中</t>
        </is>
      </c>
      <c r="G8" s="13" t="inlineStr">
        <is>
          <t>未測試</t>
        </is>
      </c>
      <c r="H8" s="13" t="n"/>
      <c r="I8" s="6" t="inlineStr">
        <is>
          <t>已發出的 token 永不過期，只能換 secret 作廢；自架 Supabase 的 anon／service_role key 也由同一個 secret 簽發，會一起失效。</t>
        </is>
      </c>
      <c r="J8" s="6" t="inlineStr">
        <is>
          <t>伺服器上自架 Supabase 的 .env
前端與 FastAPI 的 env</t>
        </is>
      </c>
      <c r="K8" s="6" t="inlineStr">
        <is>
          <t>① 生產自架 Supabase 換上新的 JWT secret（app.settings.jwt_secret 一併更新），重發 anon／service_role key，更新到 Supabase 各容器、網頁（anon key 要重新建置 image）和語音伺服器。② 用舊 secret 簽的東西全部失效：舊 anon key、舊 service_role key、舊 secret 簽的無過期用戶 JWT（P0-06 前 MAC 換到的那種）。③ DEVICE_JWT_SECRET 同時輪換；設備不用重新配對（P0-06 之後設備靠 NVS 裡的設備密鑰自動換新 token）。④ 沒有任何運行中的容器還持有舊值；用到 service key 的其他地方（例如 Mac 上的 release_firmware.py）已改用新 key。⑤ 有回滾方法。</t>
        </is>
      </c>
      <c r="L8" s="6" t="inlineStr">
        <is>
          <t>照 docs/deploy/rotate-2026-10-jwt-secrets.sh 在伺服器執行，第 6 步自動檢查：① 舊 anon key、舊 service_role key、舊 secret 簽的 canary 用戶 JWT（第 3 步證明輪換前可用）→ 401 ② 新 anon／service key → 200；網站 JS 只含新 anon key；generate_auth_token 新設備 → 202；語音伺服器拒絕舊 device token、接受新的；輪換後已綁定設備自動回來（last_seen_at 更新）③ 運行中容器的環境變數裡沒有任何舊值 ④ 人手：網頁登入、playground 對話、實機對話各一次</t>
        </is>
      </c>
      <c r="M8" s="13" t="inlineStr">
        <is>
          <t>P0-06</t>
        </is>
      </c>
      <c r="N8" s="6" t="n"/>
      <c r="O8" s="13" t="n"/>
      <c r="P8" s="6" t="inlineStr">
        <is>
          <t>[2026-10-12] 2026-10-12：runbook 已寫好（分支 p0-07-rotate-secrets）。輔助函數本機測試 18/18：自簽 JWT 能被 node jsonwebtoken 驗證、語音伺服器 device_auth.verify 接受新 token、拒絕簽錯的 token、env 檔替換正確。驗收從「所有設備重新配對」改為「設備不用重新配對」，因為 P0-06 之後設備靠設備密鑰自動換 token。下一步：用戶在伺服器跑 STEP=0（只讀）並把結果貼回來。</t>
        </is>
      </c>
    </row>
    <row r="9" ht="270" customHeight="1">
      <c r="A9" s="13" t="inlineStr">
        <is>
          <t>P0-08</t>
        </is>
      </c>
      <c r="B9" s="13" t="inlineStr">
        <is>
          <t>P0</t>
        </is>
      </c>
      <c r="C9" s="13" t="inlineStr">
        <is>
          <t>1 止血定案</t>
        </is>
      </c>
      <c r="D9" s="6" t="inlineStr">
        <is>
          <t>安全-語音伺服器</t>
        </is>
      </c>
      <c r="E9" s="6" t="inlineStr">
        <is>
          <t>語音伺服器驗證設備身份（/ws/esp32）</t>
        </is>
      </c>
      <c r="F9" s="13" t="inlineStr">
        <is>
          <t>已完成</t>
        </is>
      </c>
      <c r="G9" s="13" t="inlineStr">
        <is>
          <t>通過</t>
        </is>
      </c>
      <c r="H9" s="13" t="inlineStr">
        <is>
          <t>2026-10-12</t>
        </is>
      </c>
      <c r="I9" s="6" t="inlineStr">
        <is>
          <t>只看 X-Device-Mac header，Bearer token 只記進 log、從不驗證；任何人冒充一台玩具就能問出孩子的記憶，並消耗 API 額度。</t>
        </is>
      </c>
      <c r="J9" s="6" t="inlineStr">
        <is>
          <t>server/fastapi/server.py:375</t>
        </is>
      </c>
      <c r="K9" s="6" t="inlineStr">
        <is>
          <t>驗證設備 token 的簽名與有效期，設備身份取自 token 而不是 header；無效就以 4401 關閉連線。</t>
        </is>
      </c>
      <c r="L9" s="6" t="inlineStr">
        <is>
          <t>① 偽造 X-Device-Mac、不帶 token 被拒
② 過期 token 被拒
③ 真實設備正常對話
④ 新增 pytest 覆蓋以上情況</t>
        </is>
      </c>
      <c r="M9" s="13" t="inlineStr">
        <is>
          <t>P0-06</t>
        </is>
      </c>
      <c r="N9" s="6" t="inlineStr">
        <is>
          <t>線上 2026-10-12（bac24e9）：wss /fastapi/ws/esp32 不帶 token、偽造 token＋X-Device-Mac → 均 4401 invalid device token；42:34 以有效 token 連線對話正常（P0-13 10/09）</t>
        </is>
      </c>
      <c r="O9" s="13" t="inlineStr">
        <is>
          <t>da98048</t>
        </is>
      </c>
      <c r="P9" s="6" t="inlineStr">
        <is>
          <t>[2026-10-07] 2026-10-07：device_auth.py 用標準庫 hmac 驗 HS256（venv 無 PyJWT），每次呼叫才讀 DEVICE_JWT_SECRET（bot.py 的 load_dotenv 在 import 之後）。未設 secret 時所有設備被拒。
[2026-10-07] 2026-10-07：本機全部驗收通過（commit da98048），仍保持進行中：線上尚未部署。上線順序：兩邊 env 設同一個 DEVICE_JWT_SECRET → 套用 20261007150000 → 部署前端與語音伺服器 → 重燒雲端測試板。
[2026-10-07] 2026-10-07：用戶決定延後部署，與後續任務合併成一批上線。mygithub/main 與 GHCR :latest 已是新版（da98048 起），主機在跑 runbook 前不可 docker compose pull。</t>
        </is>
      </c>
    </row>
    <row r="10" ht="74" customHeight="1">
      <c r="A10" s="13" t="inlineStr">
        <is>
          <t>P0-09</t>
        </is>
      </c>
      <c r="B10" s="13" t="inlineStr">
        <is>
          <t>P0</t>
        </is>
      </c>
      <c r="C10" s="13" t="inlineStr">
        <is>
          <t>1 止血定案</t>
        </is>
      </c>
      <c r="D10" s="6" t="inlineStr">
        <is>
          <t>安全-語音伺服器</t>
        </is>
      </c>
      <c r="E10" s="6" t="inlineStr">
        <is>
          <t>瀏覽器語音路由改用簽名 token（/ws/nextjs）</t>
        </is>
      </c>
      <c r="F10" s="13" t="inlineStr">
        <is>
          <t>已完成</t>
        </is>
      </c>
      <c r="G10" s="13" t="inlineStr">
        <is>
          <t>通過</t>
        </is>
      </c>
      <c r="H10" s="13" t="inlineStr">
        <is>
          <t>2026-10-12</t>
        </is>
      </c>
      <c r="I10" s="6" t="inlineStr">
        <is>
          <t>user_id 和角色 prompt 都取自 query string：知道某個 user_id 就能讀到那個孩子的記憶，也能注入任意角色 prompt。</t>
        </is>
      </c>
      <c r="J10" s="6" t="inlineStr">
        <is>
          <t>server/fastapi/server.py:316</t>
        </is>
      </c>
      <c r="K10" s="6" t="inlineStr">
        <is>
          <t>Next.js 為已登入用戶簽發 ≤5 分鐘的 token，FastAPI 驗證後才取 user_id；角色與 prompt 由伺服器端按帳號讀取。</t>
        </is>
      </c>
      <c r="L10" s="6" t="inlineStr">
        <is>
          <t>① 改 query 裡的 user_id 無效
② 不帶 token 被拒
③ Web 對話與記憶正常</t>
        </is>
      </c>
      <c r="M10" s="13" t="n"/>
      <c r="N10" s="6" t="inlineStr">
        <is>
          <t>線上 2026-10-12（bac24e9）：wss /fastapi/ws/nextjs 只帶 user_id 或 token=bogus → 4401；用戶確認：登入 elatoai.hkqft.com 後網頁 playground 可正常對話</t>
        </is>
      </c>
      <c r="O10" s="13" t="inlineStr">
        <is>
          <t>af99fdf</t>
        </is>
      </c>
      <c r="P10" s="6" t="inlineStr">
        <is>
          <t>[2026-10-07] 2026-10-07：沿用 DEVICE_JWT_SECRET，以 aud/typ 區分。網頁與語音伺服器須同時上新版。保持進行中：隨下一批部署後線上複測。</t>
        </is>
      </c>
    </row>
    <row r="11" ht="102" customHeight="1">
      <c r="A11" s="13" t="inlineStr">
        <is>
          <t>P0-10</t>
        </is>
      </c>
      <c r="B11" s="13" t="inlineStr">
        <is>
          <t>P0</t>
        </is>
      </c>
      <c r="C11" s="13" t="inlineStr">
        <is>
          <t>1 止血定案</t>
        </is>
      </c>
      <c r="D11" s="6" t="inlineStr">
        <is>
          <t>安全-語音伺服器</t>
        </is>
      </c>
      <c r="E11" s="6" t="inlineStr">
        <is>
          <t>生產環境關閉 /browser 測試頁與 /ws/browser</t>
        </is>
      </c>
      <c r="F11" s="13" t="inlineStr">
        <is>
          <t>已完成</t>
        </is>
      </c>
      <c r="G11" s="13" t="inlineStr">
        <is>
          <t>通過</t>
        </is>
      </c>
      <c r="H11" s="13" t="inlineStr">
        <is>
          <t>2026-10-12</t>
        </is>
      </c>
      <c r="I11" s="6" t="inlineStr">
        <is>
          <t>完全開放：任何人都能免費使用你付費的 STT／LLM／TTS。</t>
        </is>
      </c>
      <c r="J11" s="6" t="inlineStr">
        <is>
          <t>server/fastapi/server.py:264, :286</t>
        </is>
      </c>
      <c r="K11" s="6" t="inlineStr">
        <is>
          <t>預設關閉；只有顯式設定開關（例如 ENABLE_BROWSER_TEST=true）時才註冊這兩個路由。</t>
        </is>
      </c>
      <c r="L11" s="6" t="inlineStr">
        <is>
          <t>生產配置下 GET /browser 回 404，連線 /ws/browser 被拒。</t>
        </is>
      </c>
      <c r="M11" s="13" t="n"/>
      <c r="N11" s="6" t="inlineStr">
        <is>
          <t>線上 2026-10-12（bac24e9）：GET /fastapi/browser 404、/fastapi/ 404、/fastapi/healthz 200、wss /fastapi/ws/browser → HTTP 403</t>
        </is>
      </c>
      <c r="O11" s="13" t="inlineStr">
        <is>
          <t>d0cfbb8</t>
        </is>
      </c>
      <c r="P11" s="6" t="inlineStr">
        <is>
          <t>[2026-10-07] 2026-10-07：本機 server/fastapi/.env 加 ENABLE_BROWSER_TEST=true 方便開發；線上不設。保持進行中：要隨下一批部署後在線上複測（GET https://elatoai.hkqft.com/fastapi/browser → 404）。</t>
        </is>
      </c>
    </row>
    <row r="12" ht="409" customHeight="1">
      <c r="A12" s="13" t="inlineStr">
        <is>
          <t>P0-11</t>
        </is>
      </c>
      <c r="B12" s="13" t="inlineStr">
        <is>
          <t>P0</t>
        </is>
      </c>
      <c r="C12" s="13" t="inlineStr">
        <is>
          <t>1 止血定案</t>
        </is>
      </c>
      <c r="D12" s="6" t="inlineStr">
        <is>
          <t>安全-認證</t>
        </is>
      </c>
      <c r="E12" s="6" t="inlineStr">
        <is>
          <t>設備認領要求持有證明</t>
        </is>
      </c>
      <c r="F12" s="13" t="inlineStr">
        <is>
          <t>進行中</t>
        </is>
      </c>
      <c r="G12" s="13" t="inlineStr">
        <is>
          <t>部分通過</t>
        </is>
      </c>
      <c r="H12" s="13" t="n"/>
      <c r="I12" s="6" t="inlineStr">
        <is>
          <t>任何登入用戶都能看到全球 10 分鐘內上線的未認領設備並直接認領；202 回應把配對碼交給任何知道 MAC 的人。</t>
        </is>
      </c>
      <c r="J12" s="6" t="inlineStr">
        <is>
          <t>frontend-nextjs/db/devices.ts:62
frontend-nextjs/app/api/generate_auth_token/route.ts:172</t>
        </is>
      </c>
      <c r="K12" s="6" t="inlineStr">
        <is>
          <t>綁定票（用戶 2026-10-12 決定，經藍牙交付，見 R-21）：① 已登入的 App 向伺服器取綁定票：一次性、5 分鐘有效，綁定該帳號和品牌。② 設備連上 Wi-Fi 後，用設備密鑰加綁定票呼叫伺服器；伺服器在同一個交易裡檢查票有效、設備 user_id 為空、品牌相符，然後寫入 user_id 和 claimed_at，並把票作廢。③ 不再列出全球未認領設備，也不再用手動輸入的配對碼認領（舊流程只在開發模式保留）。④ 已有主人的設備不能被認領：原主在 App 內解綁，聯絡不到原主就由管理員在後台解綁（R-11）。⑤ 第一版一台設備只屬一個帳號。⑥ 取票有頻率上限（每帳號每分鐘 5 次）。</t>
        </is>
      </c>
      <c r="L12" s="6" t="inlineStr">
        <is>
          <t>① 只知 MAC 或 user_code 不能認領 ② 綁定票過期、用過一次、屬於另一品牌 → 認領被拒 ③ 帳號 B 的票交給 A 已綁定的設備 → 被拒，A 的綁定不變 ④ 沒有設備密鑰只帶票 → 401 ⑤ 正常流程：simulate_device.py 帶有效票 → 200 token，devices.user_id 和 claimed_at 寫入 ⑥ 設定頁不再出現別人的未認領設備 ⑦ 取票超過頻率上限 → 429</t>
        </is>
      </c>
      <c r="M12" s="13" t="inlineStr">
        <is>
          <t>P0-06</t>
        </is>
      </c>
      <c r="N12" s="6" t="inlineStr">
        <is>
          <t>本機（分支 p0-11-bind-ticket da3709b，localhost:3015 + 本機 Supabase，測試腳本 22/22）：① 只帶 MAC → 401、密鑰 + user_code 當票 → 403 且設備仍無主 ② 票用過（另一台）／過期／本庫沒發過的票（他品牌）→ 403 ③ B 的票交給 A 的設備 → 409 device_owned，A 綁定不變、B 的票未作廢 ④ 有效票但無設備密鑰 → 401、票未作廢 ⑤ 密鑰 + 有效票 → 200 token，user_id 和 claimed_at 寫入；同一台重送同一張票 → 200 ⑥ DEVICE_CLAIM_LIST=False 時設定頁沒有未認領清單和配對碼欄，有未認領設備在線也看不到，12 秒內無輪詢；=True 時開發清單照舊可認領 ⑦ 同帳號並行 10 次取票 → 5×200、5×429，B 不受影響，滿一分鐘後恢復；表只存 SHA-256；authenticated 讀表／呼叫 RPC → 42501。未部署線上。</t>
        </is>
      </c>
      <c r="O12" s="13" t="inlineStr">
        <is>
          <t>da3709b</t>
        </is>
      </c>
      <c r="P12" s="6" t="inlineStr">
        <is>
          <t>[2026-10-07] 2026-10-07：addUserToDevice（輸入配對碼）沒有限制 user_id IS NULL，知道配對碼就能把已有主人的設備轉到自己帳號；P0-04 只把它搬到 service_role，行為未改，留給本項處理。
[2026-10-07] 2026-10-07：P0-06 之後配對碼只回給持有設備密鑰的請求（只知 MAC → 401），驗收第一條在本機已成立；仍缺：不再列出全球未認領設備、輸錯上限、addUserToDevice 搶已綁定設備。
[2026-10-12] 2026-10-12 用戶確認綁定設計：Spotpear 沒有螢幕、也不讀出配對碼（韌體只印在序列埠），所以改為配網時綁定；已有主人的設備要原主先解綁，否則找客服；第一版一台設備只屬一個帳號。現況漏洞仍在：設定頁列出全球未認領設備可直接認領（AppSettings.tsx、getUnclaimedDevices）；addUserToDevice 沒有檢查 user_id IS NULL，也不寫 claimed_at。
[2026-10-12] 2026-10-12 再改：用戶決定用藍牙配網（R-21），不用熱點綁定碼。改為「App 取綁定票，經藍牙交給設備，設備自己認領」，本項只管伺服器端，不用等藍牙就能先做和測試。
[2026-10-12] 伺服器端完成並在本機全部通過，未部署。注意：DEVICE_CLAIM_LIST 在生產預設關閉，部署後網頁不能再加新設備，要等 R-21 藍牙配網（或臨時在生產開 DEVICE_CLAIM_LIST）。分支以 mygithub/main（8db9d9c）為基礎；本機 main 落後且沒有 P1-12。
[2026-10-12] 2026-10-12 用戶決定：P0-11 不單獨部署，等 R-21 藍牙配網做好後一起上線，避免生產網頁在中間這段時間不能加新設備。</t>
        </is>
      </c>
    </row>
    <row r="13" ht="326" customHeight="1">
      <c r="A13" s="13" t="inlineStr">
        <is>
          <t>P0-12</t>
        </is>
      </c>
      <c r="B13" s="13" t="inlineStr">
        <is>
          <t>P0</t>
        </is>
      </c>
      <c r="C13" s="13" t="inlineStr">
        <is>
          <t>1 止血定案</t>
        </is>
      </c>
      <c r="D13" s="6" t="inlineStr">
        <is>
          <t>安全-Web</t>
        </is>
      </c>
      <c r="E13" s="6" t="inlineStr">
        <is>
          <t>收緊 Admin 權限與路由保護</t>
        </is>
      </c>
      <c r="F13" s="13" t="inlineStr">
        <is>
          <t>已完成</t>
        </is>
      </c>
      <c r="G13" s="13" t="inlineStr">
        <is>
          <t>通過</t>
        </is>
      </c>
      <c r="H13" s="13" t="inlineStr">
        <is>
          <t>2026-10-12</t>
        </is>
      </c>
      <c r="I13" s="6" t="inlineStr">
        <is>
          <t>沒設 ADMIN_EMAILS 時所有登入用戶都是管理員，可以改全站模型、讀寫別人孩子的角色 prompt；middleware 的登入保護被註解掉。</t>
        </is>
      </c>
      <c r="J13" s="6" t="inlineStr">
        <is>
          <t>frontend-nextjs/lib/admin.ts:45
frontend-nextjs/utils/supabase/middleware.ts:42</t>
        </is>
      </c>
      <c r="K13" s="6" t="inlineStr">
        <is>
          <t>① 用 admin_roles 表（user_id、角色、授權人、時間）和資料庫函數 has_role() 取代 ADMIN_EMAILS；v1 只有兩種角色：超級管理員、內容管理員 ② 管理端在 /admin：middleware 擋未授權的路由，每個 server action 再檢查一次角色，資料庫 RLS 也用 has_role() 把關。不要求兩步驗證 ③ 任何管理員角色在資料庫層面都沒有讀取其他家庭 conversations、memory_facts、memory_segments 的權限 ④ 恢復 middleware 對 /home 的登入保護</t>
        </is>
      </c>
      <c r="L13" s="6" t="inlineStr">
        <is>
          <t>① 普通家長帳號訪問 /admin 被拒；直接呼叫 admin server action 被拒 ② 內容管理員能改角色，不能改模型設定和管理員名單 ③ 用超級管理員的 JWT 查 conversations、memory_facts、memory_segments，讀不到其他家庭的資料 ④ 未登入訪問 /home 跳到 /login</t>
        </is>
      </c>
      <c r="M13" s="13" t="n"/>
      <c r="N13" s="6" t="inlineStr">
        <is>
          <t>線上 2026-10-12（bac24e9）：runbook 10/08 檢查 未登入 /admin→/login、/api/admin→401、has_role() 只看角色、無管理員 policy 觸及 conversations/記憶表、超管≥1；未登入 /home、/admin→/login；用戶確認：家長帳號開 /admin 轉回 /home、管理員在 /admin 修改角色保存成功；角色細分權限沿用本機 61/61</t>
        </is>
      </c>
      <c r="O13" s="13" t="inlineStr">
        <is>
          <t>c16e1c2</t>
        </is>
      </c>
      <c r="P13" s="6" t="inlineStr">
        <is>
          <t>[2026-09-30] 權限設計討論後擴大範圍：見 Q7、Q9
[2026-10-07] 2026-10-07 本機驗證通過，未部署。上線前：生產 GoTrue 開 TOTP（GOTRUE_MFA_TOTP_ENROLL/VERIFY_ENABLED=true）、套 20261007140000+180000、手動 INSERT 第一個 super_admin；P0-17（anon key 是否 secret）未解前 ④ 在生產不成立
[2026-10-07] 2026-10-07 用戶決定取消 TOTP：管理員只看帳號角色，登入後可直接進 /admin。has_role() 不再要求 aal2（20261007191000）。
[2026-10-07] 2026-10-07 c16e1c2 取消 TOTP 後重測通過。未部署：上線時 runbook 會套 20261007191000 並檢查 has_role() 不含 aal；生產 GoTrue 不再需要開 TOTP。本機 GoTrue 仍開著 TOTP（config.toml 已改，要 supabase stop/start 才生效），不影響權限</t>
        </is>
      </c>
    </row>
    <row r="14" ht="409" customHeight="1">
      <c r="A14" s="13" t="inlineStr">
        <is>
          <t>P0-13</t>
        </is>
      </c>
      <c r="B14" s="13" t="inlineStr">
        <is>
          <t>P0</t>
        </is>
      </c>
      <c r="C14" s="13" t="inlineStr">
        <is>
          <t>2 內測準備</t>
        </is>
      </c>
      <c r="D14" s="6" t="inlineStr">
        <is>
          <t>安全-韌體</t>
        </is>
      </c>
      <c r="E14" s="6" t="inlineStr">
        <is>
          <t>讓 OTA 真正可用並能回滾</t>
        </is>
      </c>
      <c r="F14" s="13" t="inlineStr">
        <is>
          <t>已完成</t>
        </is>
      </c>
      <c r="G14" s="13" t="inlineStr">
        <is>
          <t>通過</t>
        </is>
      </c>
      <c r="H14" s="13" t="inlineStr">
        <is>
          <t>2026-10-09</t>
        </is>
      </c>
      <c r="I14" s="6" t="inlineStr">
        <is>
          <t>OTA 的韌體 URL 與伺服器證書仍是佔位符：出貨後無法修補任何漏洞。</t>
        </is>
      </c>
      <c r="J14" s="6" t="inlineStr">
        <is>
          <t>firmware-arduino/src/OTA.cpp:9, :14</t>
        </is>
      </c>
      <c r="K14" s="6" t="inlineStr">
        <is>
          <t>填入真實 URL 與 CA；新韌體啟動自檢通過才標記有效，否則自動回滾；設備上報韌體版本。</t>
        </is>
      </c>
      <c r="L14" s="6" t="inlineStr">
        <is>
          <t>① 實機推一次升級成功
② 推一個會崩潰的韌體，確認自動回滾到舊版</t>
        </is>
      </c>
      <c r="M14" s="13" t="n"/>
      <c r="N14" s="6" t="inlineStr">
        <is>
          <t>生產雲端 HTTPS OTA（2026-10-09）：release_firmware.py publish spotpear-ai-toy --current → 1.0.1 現行；42:34 開機 1.0.0 → token 回應 Installing 1.0.1 (1655776 bytes) → 經 Cloudflare+nginx 下載 100% → 重啟到 app1 on probation → 連上語音伺服器 → 120s 後『Firmware 1.0.1 confirmed』。②崩潰回滾沿用 10-08 開發板實測（1.2.2/1.5.3 回滾、1.5.2 切回舊槽）；本機 63:64 1.5.1→1.6.1 亦確認</t>
        </is>
      </c>
      <c r="O14" s="13" t="inlineStr">
        <is>
          <t>036c0f9</t>
        </is>
      </c>
      <c r="P14" s="6" t="inlineStr">
        <is>
          <t>[2026-10-08] 2026-10-08 b27cc07（分支 p0-13-ota）。部署時要套 20261008100000_firmware_releases.sql，發佈要用 SUPABASE_URL+service key 跑 tools/release_firmware.py
[2026-10-08] 2026-10-08 實機①②通過，未部署。上線要：套 20261008100000、部署前端、用 release_firmware.py 發佈正式 build；生產 HTTPS（同 CF CA）的 1.6MB 下載尚未在線上驗證。開發板現跑 1.2.1 localall。未做：已確認版本日後若崩潰循環不會自動切回舊槽，需 USB 救（可另立任務）
[2026-10-08] 2026-10-08 OTA 檢查併入 /api/generate_auth_token（68b9550），開機回到一次 TLS 握手；/api/ota/check 移除。token 路徑 API 11/11（舊韌體無 ota、格式錯仍發 token、回滾版本不再提供）；實機 1.3.0→1.3.1 經 token 回應安裝、試用、播完開場白、120s 確認。第一次升級 1.3.1 被 async_tcp 任務看門狗觸發重啟並正確回滾——是既有韌體 bug，見新任務
[2026-10-08] 2026-10-08 交板前強化（682f3b4）：① 確認後連續崩潰 3 次 → 切回另一槽位（每段崩潰期一次）、立即重新確認、上報失敗 ② 回滾按重啟原因判定：崩潰/看門狗即失敗，斷電等非崩潰原因可重試 2 次（R-17 會自己斷電）。實機 1.5.x：試用期內 EN 重啟 → 重試第 2 次並確認；1.5.2 確認後崩潰 3 次 → 回 1.5.1、重新確認、報失敗；1.5.3 試用期崩潰 → 回滾、reason 4 即報失敗。runbook 已加 20261008100000 與 OTA 檢查（3aa632a）。上線後須用開發板對雲端走一次 HTTPS OTA 再交板
[2026-10-09] 2026-10-09 上線前兩個阻礙已修：① Cloudflare 對 Python-urllib UA 回 403 error 1010 → release_firmware.py 自帶 User-Agent（036c0f9）② 主機 nginx /supabase-api/ 預設 1MB 上限 → 413，已在 /home/jackylee/nginx/conf.d/elatoai.conf 兩段 location 加 client_max_body_size 16m（備份 ~/nginx/elatoai.conf.2026-10-09.bak）。雲端此前沒有任何 Spotpear release。service key 只在伺服器 .env.production</t>
        </is>
      </c>
    </row>
    <row r="15" ht="60" customHeight="1">
      <c r="A15" s="13" t="inlineStr">
        <is>
          <t>P0-14</t>
        </is>
      </c>
      <c r="B15" s="13" t="inlineStr">
        <is>
          <t>P0</t>
        </is>
      </c>
      <c r="C15" s="13" t="inlineStr">
        <is>
          <t>3 封閉內測</t>
        </is>
      </c>
      <c r="D15" s="6" t="inlineStr">
        <is>
          <t>安全-韌體</t>
        </is>
      </c>
      <c r="E15" s="6" t="inlineStr">
        <is>
          <t>韌體簽章、Secure Boot 與 Flash 加密</t>
        </is>
      </c>
      <c r="F15" s="13" t="inlineStr">
        <is>
          <t>未開始</t>
        </is>
      </c>
      <c r="G15" s="13" t="inlineStr">
        <is>
          <t>未測試</t>
        </is>
      </c>
      <c r="H15" s="13" t="n"/>
      <c r="I15" s="6" t="inlineStr">
        <is>
          <t>韌體沒有簽章驗證；NVS 裡的 token、WiFi 密碼可以用 esptool 直接讀出。</t>
        </is>
      </c>
      <c r="J15" s="6" t="inlineStr">
        <is>
          <t>firmware-arduino/platformio.ini
firmware-arduino/partition.csv</t>
        </is>
      </c>
      <c r="K15" s="6" t="inlineStr">
        <is>
          <t>啟用 Secure Boot v2、flash encryption、NVS encryption；OTA 只接受簽名映像。</t>
        </is>
      </c>
      <c r="L15" s="6" t="inlineStr">
        <is>
          <t>① 未簽名映像 OTA 被拒
② esptool read_flash 讀出的是密文</t>
        </is>
      </c>
      <c r="M15" s="13" t="inlineStr">
        <is>
          <t>P0-13, R-01</t>
        </is>
      </c>
      <c r="N15" s="6" t="n"/>
      <c r="O15" s="13" t="n"/>
      <c r="P15" s="6" t="inlineStr">
        <is>
          <t>燒 eFuse 不可逆：先用一片測試板驗證，每一步都要用戶確認。
[2026-09-30] Secure Boot 要在定案的板子上驗證</t>
        </is>
      </c>
    </row>
    <row r="16" ht="172" customHeight="1">
      <c r="A16" s="13" t="inlineStr">
        <is>
          <t>P1-01</t>
        </is>
      </c>
      <c r="B16" s="13" t="inlineStr">
        <is>
          <t>P1</t>
        </is>
      </c>
      <c r="C16" s="13" t="inlineStr">
        <is>
          <t>2 內測準備</t>
        </is>
      </c>
      <c r="D16" s="6" t="inlineStr">
        <is>
          <t>兒童安全</t>
        </is>
      </c>
      <c r="E16" s="6" t="inlineStr">
        <is>
          <t>加入內容審核層（輸入與輸出）</t>
        </is>
      </c>
      <c r="F16" s="13" t="inlineStr">
        <is>
          <t>阻塞</t>
        </is>
      </c>
      <c r="G16" s="13" t="inlineStr">
        <is>
          <t>未測試</t>
        </is>
      </c>
      <c r="H16" s="13" t="n"/>
      <c r="I16" s="6" t="inlineStr">
        <is>
          <t>只靠 prompt 裡的「Be appropriate」，沒有審核；模型經 OpenRouter 路由到開源模型；Azure STT 預設 profanity=raw（因為 masked 會誤殺非英語）。</t>
        </is>
      </c>
      <c r="J16" s="6" t="inlineStr">
        <is>
          <t>server/fastapi/bot.py
server/fastapi/voice_pipeline.py
server/fastapi/models/stt/azure.py:47</t>
        </is>
      </c>
      <c r="K16" s="6" t="inlineStr">
        <is>
          <t>STT 文字與 LLM 輸出都經審核，尺度按 3–6 歲；命中時換成安全回覆並記錄事件，事件只記類別、時間、角色，不記原文（管理員不能看兒童內容，見 Q7）；首字延遲增加 ≤150ms。</t>
        </is>
      </c>
      <c r="L16" s="6" t="inlineStr">
        <is>
          <t>① 30 條紅隊句子（暴力、性、自殘、索取個人資料、越獄）全部被攔截或得到安全回應
② 100 條正常兒童對話誤攔率 &lt;2%
③ 用 turn_metrics 比較前後延遲
④ 事件表裡找不到任何對話原文</t>
        </is>
      </c>
      <c r="M16" s="13" t="n"/>
      <c r="N16" s="6" t="n"/>
      <c r="O16" s="13" t="n"/>
      <c r="P16" s="6" t="inlineStr">
        <is>
          <t>[2026-09-30] Q5：3–6 歲；Q7：事件不記原文
[2026-10-14] 2026-10-14：審核事件的後台頁拆成 P1-14，等本項完成後做。
[2026-10-14] 2026-10-14 用戶決定：先不定審核服務商，本項暫停。候選：Azure Content Safety（建議，香港區、可在每句回覆說出口前檢查）、OpenRouter 安全模型、OpenAI Moderation、只用本機字詞表。未寫任何程式。</t>
        </is>
      </c>
    </row>
    <row r="17" ht="144" customHeight="1">
      <c r="A17" s="13" t="inlineStr">
        <is>
          <t>P1-02</t>
        </is>
      </c>
      <c r="B17" s="13" t="inlineStr">
        <is>
          <t>P1</t>
        </is>
      </c>
      <c r="C17" s="13" t="inlineStr">
        <is>
          <t>2 內測準備</t>
        </is>
      </c>
      <c r="D17" s="6" t="inlineStr">
        <is>
          <t>私隱</t>
        </is>
      </c>
      <c r="E17" s="6" t="inlineStr">
        <is>
          <t>日誌移除兒童個人資料</t>
        </is>
      </c>
      <c r="F17" s="13" t="inlineStr">
        <is>
          <t>進行中</t>
        </is>
      </c>
      <c r="G17" s="13" t="inlineStr">
        <is>
          <t>部分通過</t>
        </is>
      </c>
      <c r="H17" s="13" t="n"/>
      <c r="I17" s="6" t="inlineStr">
        <is>
          <t>記憶事實原文、孩子姓名等被寫進伺服器日誌。</t>
        </is>
      </c>
      <c r="J17" s="6" t="inlineStr">
        <is>
          <t>server/fastapi/memory/session.py:482, :488
server/fastapi/device_registry.py（logger.info）</t>
        </is>
      </c>
      <c r="K17" s="6" t="inlineStr">
        <is>
          <t>生產日誌只記 ID、長度、類別，不記內容；內容只在 DEBUG 等級輸出，生產不開 DEBUG。</t>
        </is>
      </c>
      <c r="L17" s="6" t="inlineStr">
        <is>
          <t>跑一次含孩子姓名與寵物名的對話，grep 日誌找不到原文。</t>
        </is>
      </c>
      <c r="M17" s="13" t="n"/>
      <c r="N17" s="6" t="inlineStr">
        <is>
          <t>本機（分支 p1-02-log-pii）：模擬板子跑 3 輪，孩子名 PROBE小明、性格『鍾意恐龍』、記憶『佢有隻狗叫PROBE豆豆』；把對話、回覆、事實切成 47 段搜日誌 → 預設 INFO 0 段；同一流程 LOG_LEVEL=DEBUG → 27 段（證明搜尋有效）。INFO 日誌也無 token。pytest 245 passed（新增 test_log_privacy 6 項：事實/摘要、PostgREST details、OpenRouter flagged_input、非 JSON 回覆、預設 INFO 與 traceback 無變量值）。未做：部署線上並在生產日誌重跑。</t>
        </is>
      </c>
      <c r="O17" s="13" t="inlineStr">
        <is>
          <t>4214b99</t>
        </is>
      </c>
      <c r="P17" s="6" t="n"/>
    </row>
    <row r="18" ht="158" customHeight="1">
      <c r="A18" s="13" t="inlineStr">
        <is>
          <t>P1-03</t>
        </is>
      </c>
      <c r="B18" s="13" t="inlineStr">
        <is>
          <t>P1</t>
        </is>
      </c>
      <c r="C18" s="13" t="inlineStr">
        <is>
          <t>3 封閉內測</t>
        </is>
      </c>
      <c r="D18" s="6" t="inlineStr">
        <is>
          <t>私隱</t>
        </is>
      </c>
      <c r="E18" s="6" t="inlineStr">
        <is>
          <t>資料保留期限與自動清理</t>
        </is>
      </c>
      <c r="F18" s="13" t="inlineStr">
        <is>
          <t>未開始</t>
        </is>
      </c>
      <c r="G18" s="13" t="inlineStr">
        <is>
          <t>未測試</t>
        </is>
      </c>
      <c r="H18" s="13" t="n"/>
      <c r="I18" s="6" t="inlineStr">
        <is>
          <t>對話與記憶永久保存；刪帳號後資料可能殘留。</t>
        </is>
      </c>
      <c r="J18" s="6" t="inlineStr">
        <is>
          <t>conversations、memory_facts、memory_segments、turn_metrics</t>
        </is>
      </c>
      <c r="K18" s="6" t="inlineStr">
        <is>
          <t>定義保留期（例如對話 90 天）；定時清理；家長能一鍵刪除全部資料並級聯刪除。</t>
        </is>
      </c>
      <c r="L18" s="6" t="inlineStr">
        <is>
          <t>① 插入過期測試資料，跑清理後消失
② 刪除測試帳號後各表沒有殘留</t>
        </is>
      </c>
      <c r="M18" s="13" t="n"/>
      <c r="N18" s="6" t="n"/>
      <c r="O18" s="13" t="n"/>
      <c r="P18" s="6" t="inlineStr">
        <is>
          <t>[2026-10-09] 解綁時選擇保留的記憶（P1-12）沒有設備綁定，也要納入保留期限，例如帳號沒有設備且 12 個月沒活動就清除。
[2026-10-09] 補充（2026-10-09 晚）：記憶改成跟設備後，解綁時保留的記憶掛在已解綁的設備名下，家長在設定頁看不到也清不了；還有 device_id 為 NULL 的舊記憶（沒有設備的帳號）。兩者都要納入保留期限自動清理。</t>
        </is>
      </c>
    </row>
    <row r="19" ht="32" customHeight="1">
      <c r="A19" s="13" t="inlineStr">
        <is>
          <t>P1-04</t>
        </is>
      </c>
      <c r="B19" s="13" t="inlineStr">
        <is>
          <t>P1</t>
        </is>
      </c>
      <c r="C19" s="13" t="inlineStr">
        <is>
          <t>3 封閉內測</t>
        </is>
      </c>
      <c r="D19" s="6" t="inlineStr">
        <is>
          <t>合規</t>
        </is>
      </c>
      <c r="E19" s="6" t="inlineStr">
        <is>
          <t>家長同意流程與私隱政策</t>
        </is>
      </c>
      <c r="F19" s="13" t="inlineStr">
        <is>
          <t>未開始</t>
        </is>
      </c>
      <c r="G19" s="13" t="inlineStr">
        <is>
          <t>未測試</t>
        </is>
      </c>
      <c r="H19" s="13" t="n"/>
      <c r="I19" s="6" t="inlineStr">
        <is>
          <t>沒有可驗證的家長同意，也沒有私隱政策；要符合哪條法規取決於目標市場（Q1）。</t>
        </is>
      </c>
      <c r="J19" s="6" t="inlineStr">
        <is>
          <t>frontend-nextjs 註冊／設定流程</t>
        </is>
      </c>
      <c r="K19" s="6" t="inlineStr">
        <is>
          <t>綁定設備前取得家長同意，並記錄時間與版本；私隱政策列明收集項目、用途、第三方與保留期。</t>
        </is>
      </c>
      <c r="L19" s="6" t="inlineStr">
        <is>
          <t>① 未同意的帳號無法綁定設備
② 法律顧問審閱通過</t>
        </is>
      </c>
      <c r="M19" s="13" t="inlineStr">
        <is>
          <t>Q1</t>
        </is>
      </c>
      <c r="N19" s="6" t="n"/>
      <c r="O19" s="13" t="n"/>
      <c r="P19" s="6" t="n"/>
    </row>
    <row r="20" ht="46" customHeight="1">
      <c r="A20" s="13" t="inlineStr">
        <is>
          <t>P1-05</t>
        </is>
      </c>
      <c r="B20" s="13" t="inlineStr">
        <is>
          <t>P1</t>
        </is>
      </c>
      <c r="C20" s="13" t="inlineStr">
        <is>
          <t>3 封閉內測</t>
        </is>
      </c>
      <c r="D20" s="6" t="inlineStr">
        <is>
          <t>合規</t>
        </is>
      </c>
      <c r="E20" s="6" t="inlineStr">
        <is>
          <t>第三方資料處理協議與資料流向</t>
        </is>
      </c>
      <c r="F20" s="13" t="inlineStr">
        <is>
          <t>未開始</t>
        </is>
      </c>
      <c r="G20" s="13" t="inlineStr">
        <is>
          <t>未測試</t>
        </is>
      </c>
      <c r="H20" s="13" t="n"/>
      <c r="I20" s="6" t="inlineStr">
        <is>
          <t>孩子的語音與文字流向 OpenRouter（及其下游模型供應商）、MiniMax、Azure 等第三方。</t>
        </is>
      </c>
      <c r="J20" s="6" t="inlineStr">
        <is>
          <t>server/fastapi/models/
server/fastapi/env.example</t>
        </is>
      </c>
      <c r="K20" s="6" t="inlineStr">
        <is>
          <t>畫出資料流向圖；每家供應商簽 DPA 或確認條款；OpenRouter 請求只路由到不留存、不用於訓練的供應商。</t>
        </is>
      </c>
      <c r="L20" s="6" t="inlineStr">
        <is>
          <t>① 文件審閱
② 抓一次 OpenRouter 請求，確認帶 provider.data_collection="deny"</t>
        </is>
      </c>
      <c r="M20" s="13" t="inlineStr">
        <is>
          <t>Q1</t>
        </is>
      </c>
      <c r="N20" s="6" t="n"/>
      <c r="O20" s="13" t="n"/>
      <c r="P20" s="6" t="n"/>
    </row>
    <row r="21" ht="32" customHeight="1">
      <c r="A21" s="13" t="inlineStr">
        <is>
          <t>P1-06</t>
        </is>
      </c>
      <c r="B21" s="13" t="inlineStr">
        <is>
          <t>P1</t>
        </is>
      </c>
      <c r="C21" s="13" t="inlineStr">
        <is>
          <t>3 封閉內測</t>
        </is>
      </c>
      <c r="D21" s="6" t="inlineStr">
        <is>
          <t>授權</t>
        </is>
      </c>
      <c r="E21" s="6" t="inlineStr">
        <is>
          <t>處理 GPL-3.0 依賴（arduino-audio-tools）</t>
        </is>
      </c>
      <c r="F21" s="13" t="inlineStr">
        <is>
          <t>未開始</t>
        </is>
      </c>
      <c r="G21" s="13" t="inlineStr">
        <is>
          <t>未測試</t>
        </is>
      </c>
      <c r="H21" s="13" t="n"/>
      <c r="I21" s="6" t="inlineStr">
        <is>
          <t>韌體靜態連結 GPL-3.0 的 arduino-audio-tools：閉源銷售就必須公開整個韌體原始碼。</t>
        </is>
      </c>
      <c r="J21" s="6" t="inlineStr">
        <is>
          <t>firmware-arduino/platformio.ini（lib_deps）</t>
        </is>
      </c>
      <c r="K21" s="6" t="inlineStr">
        <is>
          <t>二選一：韌體以 GPL 開源；或替換成 ESP-IDF I2S 等非 GPL 實作。</t>
        </is>
      </c>
      <c r="L21" s="6" t="inlineStr">
        <is>
          <t>依賴清單中沒有 GPL 庫，或韌體原始碼已公開。</t>
        </is>
      </c>
      <c r="M21" s="13" t="inlineStr">
        <is>
          <t>Q3</t>
        </is>
      </c>
      <c r="N21" s="6" t="n"/>
      <c r="O21" s="13" t="n"/>
      <c r="P21" s="6" t="n"/>
    </row>
    <row r="22" ht="46" customHeight="1">
      <c r="A22" s="13" t="inlineStr">
        <is>
          <t>P1-07</t>
        </is>
      </c>
      <c r="B22" s="13" t="inlineStr">
        <is>
          <t>P1</t>
        </is>
      </c>
      <c r="C22" s="13" t="inlineStr">
        <is>
          <t>3 封閉內測</t>
        </is>
      </c>
      <c r="D22" s="6" t="inlineStr">
        <is>
          <t>授權</t>
        </is>
      </c>
      <c r="E22" s="6" t="inlineStr">
        <is>
          <t>LGPL 合規與第三方授權聲明</t>
        </is>
      </c>
      <c r="F22" s="13" t="inlineStr">
        <is>
          <t>未開始</t>
        </is>
      </c>
      <c r="G22" s="13" t="inlineStr">
        <is>
          <t>未測試</t>
        </is>
      </c>
      <c r="H22" s="13" t="n"/>
      <c r="I22" s="6" t="inlineStr">
        <is>
          <t>AsyncTCP、ESPAsyncWebServer（LGPL-3.0）、WebSockets（LGPL-2.1）靜態連結，有讓用戶重新連結的義務；上游 ElatoAI 是 MIT，需要保留聲明。</t>
        </is>
      </c>
      <c r="J22" s="6" t="inlineStr">
        <is>
          <t>firmware-arduino/.pio/libdeps
LICENSE</t>
        </is>
      </c>
      <c r="K22" s="6" t="inlineStr">
        <is>
          <t>產出 THIRD_PARTY_NOTICES；提供可重新連結的目標檔，或替換這些庫。</t>
        </is>
      </c>
      <c r="L22" s="6" t="inlineStr">
        <is>
          <t>文件審閱。</t>
        </is>
      </c>
      <c r="M22" s="13" t="inlineStr">
        <is>
          <t>Q3</t>
        </is>
      </c>
      <c r="N22" s="6" t="n"/>
      <c r="O22" s="13" t="n"/>
      <c r="P22" s="6" t="n"/>
    </row>
    <row r="23" ht="46" customHeight="1">
      <c r="A23" s="13" t="inlineStr">
        <is>
          <t>P1-08</t>
        </is>
      </c>
      <c r="B23" s="13" t="inlineStr">
        <is>
          <t>P1</t>
        </is>
      </c>
      <c r="C23" s="13" t="inlineStr">
        <is>
          <t>3 封閉內測</t>
        </is>
      </c>
      <c r="D23" s="6" t="inlineStr">
        <is>
          <t>硬件</t>
        </is>
      </c>
      <c r="E23" s="6" t="inlineStr">
        <is>
          <t>硬件認證</t>
        </is>
      </c>
      <c r="F23" s="13" t="inlineStr">
        <is>
          <t>未開始</t>
        </is>
      </c>
      <c r="G23" s="13" t="inlineStr">
        <is>
          <t>未測試</t>
        </is>
      </c>
      <c r="H23" s="13" t="n"/>
      <c r="I23" s="6" t="inlineStr">
        <is>
          <t>無線（FCC／CE-RED 等）、玩具安全（EN71／ASTM F963）、電池運輸（UN38.3）都是上市前提，具體取決於目標市場。</t>
        </is>
      </c>
      <c r="J23" s="6" t="inlineStr">
        <is>
          <t>硬件設計</t>
        </is>
      </c>
      <c r="K23" s="6" t="inlineStr">
        <is>
          <t>列出目標市場需要的認證清單與時間表，並完成送測。</t>
        </is>
      </c>
      <c r="L23" s="6" t="inlineStr">
        <is>
          <t>取得認證報告。</t>
        </is>
      </c>
      <c r="M23" s="13" t="inlineStr">
        <is>
          <t>Q1, R-01, R-05</t>
        </is>
      </c>
      <c r="N23" s="6" t="n"/>
      <c r="O23" s="13" t="n"/>
      <c r="P23" s="6" t="inlineStr">
        <is>
          <t>[2026-09-30] 送測需要定案的板子和外殼樣品</t>
        </is>
      </c>
    </row>
    <row r="24" ht="102" customHeight="1">
      <c r="A24" s="13" t="inlineStr">
        <is>
          <t>P2-01</t>
        </is>
      </c>
      <c r="B24" s="13" t="inlineStr">
        <is>
          <t>P2</t>
        </is>
      </c>
      <c r="C24" s="13" t="inlineStr">
        <is>
          <t>1 止血定案</t>
        </is>
      </c>
      <c r="D24" s="6" t="inlineStr">
        <is>
          <t>測試</t>
        </is>
      </c>
      <c r="E24" s="6" t="inlineStr">
        <is>
          <t>修好後端測試環境</t>
        </is>
      </c>
      <c r="F24" s="13" t="inlineStr">
        <is>
          <t>已完成</t>
        </is>
      </c>
      <c r="G24" s="13" t="inlineStr">
        <is>
          <t>通過</t>
        </is>
      </c>
      <c r="H24" s="13" t="inlineStr">
        <is>
          <t>2026-10-07</t>
        </is>
      </c>
      <c r="I24" s="6" t="inlineStr">
        <is>
          <t>129 個測試中 58 個失敗；原因是 dev 依賴缺 pytest-asyncio，不是程式錯誤。</t>
        </is>
      </c>
      <c r="J24" s="6" t="inlineStr">
        <is>
          <t>server/fastapi/pyproject.toml</t>
        </is>
      </c>
      <c r="K24" s="6" t="inlineStr">
        <is>
          <t>dev group 加入 pytest 與 pytest-asyncio；全部測試通過。</t>
        </is>
      </c>
      <c r="L24" s="6" t="inlineStr">
        <is>
          <t>cd server/fastapi &amp;&amp; .venv/bin/python -m pytest -q 全部通過。</t>
        </is>
      </c>
      <c r="M24" s="13" t="n"/>
      <c r="N24" s="6" t="inlineStr">
        <is>
          <t>cd server/fastapi &amp;&amp; .venv/bin/python -m pytest -q → 173 passed（原本 60 個 async 測試報「not natively supported」）；pyproject dev group 加 pytest&gt;=9,&lt;10、pytest-asyncio&gt;=1.4,&lt;2，asyncio_mode=auto；pip install --dry-run --group dev 可解析</t>
        </is>
      </c>
      <c r="O24" s="13" t="inlineStr">
        <is>
          <t>6641fa8</t>
        </is>
      </c>
      <c r="P24" s="6" t="inlineStr">
        <is>
          <t>[2026-10-07] 2026-10-07：pytest-asyncio 其實已裝，問題是 strict 模式略過沒有 marker 的 async 測試。剩 10 個 warning 是 pipecat/fastapi 棄用提示與兩個 memory_processors 測試沒啟動 processor，不影響結果。</t>
        </is>
      </c>
    </row>
    <row r="25" ht="46" customHeight="1">
      <c r="A25" s="13" t="inlineStr">
        <is>
          <t>P2-02</t>
        </is>
      </c>
      <c r="B25" s="13" t="inlineStr">
        <is>
          <t>P2</t>
        </is>
      </c>
      <c r="C25" s="13" t="inlineStr">
        <is>
          <t>2 內測準備</t>
        </is>
      </c>
      <c r="D25" s="6" t="inlineStr">
        <is>
          <t>CI/CD</t>
        </is>
      </c>
      <c r="E25" s="6" t="inlineStr">
        <is>
          <t>CI 跑測試與靜態檢查</t>
        </is>
      </c>
      <c r="F25" s="13" t="inlineStr">
        <is>
          <t>未開始</t>
        </is>
      </c>
      <c r="G25" s="13" t="inlineStr">
        <is>
          <t>未測試</t>
        </is>
      </c>
      <c r="H25" s="13" t="n"/>
      <c r="I25" s="6" t="inlineStr">
        <is>
          <t>CI 只 build image，不跑任何測試：壞的程式照樣會發佈。</t>
        </is>
      </c>
      <c r="J25" s="6" t="inlineStr">
        <is>
          <t>.github/workflows/</t>
        </is>
      </c>
      <c r="K25" s="6" t="inlineStr">
        <is>
          <t>推送與 PR 時跑 pytest、ruff、pyright、next lint、tsc --noEmit、pio run；任何一項失敗就不發佈 image。</t>
        </is>
      </c>
      <c r="L25" s="6" t="inlineStr">
        <is>
          <t>故意推一個失敗測試到分支：CI 變紅，而且沒有發佈 image。</t>
        </is>
      </c>
      <c r="M25" s="13" t="inlineStr">
        <is>
          <t>P2-01</t>
        </is>
      </c>
      <c r="N25" s="6" t="n"/>
      <c r="O25" s="13" t="n"/>
      <c r="P25" s="6" t="n"/>
    </row>
    <row r="26" ht="74" customHeight="1">
      <c r="A26" s="13" t="inlineStr">
        <is>
          <t>P2-03</t>
        </is>
      </c>
      <c r="B26" s="13" t="inlineStr">
        <is>
          <t>P2</t>
        </is>
      </c>
      <c r="C26" s="13" t="inlineStr">
        <is>
          <t>1 止血定案</t>
        </is>
      </c>
      <c r="D26" s="6" t="inlineStr">
        <is>
          <t>版本管理</t>
        </is>
      </c>
      <c r="E26" s="6" t="inlineStr">
        <is>
          <t>提交目前未提交的改動</t>
        </is>
      </c>
      <c r="F26" s="13" t="inlineStr">
        <is>
          <t>已完成</t>
        </is>
      </c>
      <c r="G26" s="13" t="inlineStr">
        <is>
          <t>通過</t>
        </is>
      </c>
      <c r="H26" s="13" t="inlineStr">
        <is>
          <t>2026-10-06</t>
        </is>
      </c>
      <c r="I26" s="6" t="inlineStr">
        <is>
          <t>57 個檔案未提交，包括新板子支援（BoardConfig、Codec、IoExpander、LedRing、Battery），隨時可能遺失。</t>
        </is>
      </c>
      <c r="J26" s="6" t="inlineStr">
        <is>
          <t>git status</t>
        </is>
      </c>
      <c r="K26" s="6" t="inlineStr">
        <is>
          <t>按主題拆成若干 commit 並推到 mygithub。</t>
        </is>
      </c>
      <c r="L26" s="6" t="inlineStr">
        <is>
          <t>git status 乾淨；mygithub 上可以看到這些 commit。</t>
        </is>
      </c>
      <c r="M26" s="13" t="n"/>
      <c r="N26" s="6" t="inlineStr">
        <is>
          <t>git status --short → 0 行；3bc7119..b322375 按主題拆成 5 個 commit（50 檔：xmini-c3 電量、facts 記憶層、日期時間天氣、BEAM 評測、進度追蹤）；git ls-remote mygithub main = HEAD = b322375</t>
        </is>
      </c>
      <c r="O26" s="13" t="inlineStr">
        <is>
          <t>b322375</t>
        </is>
      </c>
      <c r="P26" s="6" t="inlineStr">
        <is>
          <t>推到 mygithub 會觸發部署：推送前先跟用戶確認。</t>
        </is>
      </c>
    </row>
    <row r="27" ht="32" customHeight="1">
      <c r="A27" s="13" t="inlineStr">
        <is>
          <t>P2-04</t>
        </is>
      </c>
      <c r="B27" s="13" t="inlineStr">
        <is>
          <t>P2</t>
        </is>
      </c>
      <c r="C27" s="13" t="inlineStr">
        <is>
          <t>2 內測準備</t>
        </is>
      </c>
      <c r="D27" s="6" t="inlineStr">
        <is>
          <t>部署</t>
        </is>
      </c>
      <c r="E27" s="6" t="inlineStr">
        <is>
          <t>容器改用非 root 用戶</t>
        </is>
      </c>
      <c r="F27" s="13" t="inlineStr">
        <is>
          <t>未開始</t>
        </is>
      </c>
      <c r="G27" s="13" t="inlineStr">
        <is>
          <t>未測試</t>
        </is>
      </c>
      <c r="H27" s="13" t="n"/>
      <c r="I27" s="6" t="inlineStr">
        <is>
          <t>FastAPI 與前端容器以 root 運行。</t>
        </is>
      </c>
      <c r="J27" s="6" t="inlineStr">
        <is>
          <t>server/fastapi/Dockerfile
frontend-nextjs/Dockerfile</t>
        </is>
      </c>
      <c r="K27" s="6" t="inlineStr">
        <is>
          <t>兩個 Dockerfile 都設定非 root 的 USER。</t>
        </is>
      </c>
      <c r="L27" s="6" t="inlineStr">
        <is>
          <t>docker run --rm &lt;image&gt; id -u 輸出不是 0。</t>
        </is>
      </c>
      <c r="M27" s="13" t="n"/>
      <c r="N27" s="6" t="n"/>
      <c r="O27" s="13" t="n"/>
      <c r="P27" s="6" t="n"/>
    </row>
    <row r="28" ht="32" customHeight="1">
      <c r="A28" s="13" t="inlineStr">
        <is>
          <t>P2-05</t>
        </is>
      </c>
      <c r="B28" s="13" t="inlineStr">
        <is>
          <t>P2</t>
        </is>
      </c>
      <c r="C28" s="13" t="inlineStr">
        <is>
          <t>4 量產出貨</t>
        </is>
      </c>
      <c r="D28" s="6" t="inlineStr">
        <is>
          <t>成本/濫用</t>
        </is>
      </c>
      <c r="E28" s="6" t="inlineStr">
        <is>
          <t>拒絕未知設備並限制用量</t>
        </is>
      </c>
      <c r="F28" s="13" t="inlineStr">
        <is>
          <t>未開始</t>
        </is>
      </c>
      <c r="G28" s="13" t="inlineStr">
        <is>
          <t>未測試</t>
        </is>
      </c>
      <c r="H28" s="13" t="n"/>
      <c r="I28" s="6" t="inlineStr">
        <is>
          <t>陌生 MAC 也能拿到預設角色的 session（fail open），可以無限消耗 API。</t>
        </is>
      </c>
      <c r="J28" s="6" t="inlineStr">
        <is>
          <t>server/fastapi/server.py
server/fastapi/device_registry.py</t>
        </is>
      </c>
      <c r="K28" s="6" t="inlineStr">
        <is>
          <t>未認證設備拒絕連線；每台設備、每個帳號有每日對話時長上限；每個 IP 有連線限流。</t>
        </is>
      </c>
      <c r="L28" s="6" t="inlineStr">
        <is>
          <t>超出限額後連線被拒，並留下日誌。</t>
        </is>
      </c>
      <c r="M28" s="13" t="inlineStr">
        <is>
          <t>P0-08</t>
        </is>
      </c>
      <c r="N28" s="6" t="n"/>
      <c r="O28" s="13" t="n"/>
      <c r="P28" s="6" t="n"/>
    </row>
    <row r="29" ht="102" customHeight="1">
      <c r="A29" s="13" t="inlineStr">
        <is>
          <t>P2-06</t>
        </is>
      </c>
      <c r="B29" s="13" t="inlineStr">
        <is>
          <t>P2</t>
        </is>
      </c>
      <c r="C29" s="13" t="inlineStr">
        <is>
          <t>3 封閉內測</t>
        </is>
      </c>
      <c r="D29" s="6" t="inlineStr">
        <is>
          <t>可觀測性</t>
        </is>
      </c>
      <c r="E29" s="6" t="inlineStr">
        <is>
          <t>錯誤追蹤與告警</t>
        </is>
      </c>
      <c r="F29" s="13" t="inlineStr">
        <is>
          <t>未開始</t>
        </is>
      </c>
      <c r="G29" s="13" t="inlineStr">
        <is>
          <t>未測試</t>
        </is>
      </c>
      <c r="H29" s="13" t="n"/>
      <c r="I29" s="6" t="inlineStr">
        <is>
          <t>沒有錯誤追蹤與告警：線上出問題只能靠用戶反映。</t>
        </is>
      </c>
      <c r="J29" s="6" t="inlineStr">
        <is>
          <t>FastAPI、Next.js、韌體（崩潰上報）</t>
        </is>
      </c>
      <c r="K29" s="6" t="inlineStr">
        <is>
          <t>三端接入錯誤追蹤；對健康檢查、錯誤率、延遲 p95 設告警。</t>
        </is>
      </c>
      <c r="L29" s="6" t="inlineStr">
        <is>
          <t>人為製造一個錯誤，5 分鐘內收到告警。</t>
        </is>
      </c>
      <c r="M29" s="13" t="n"/>
      <c r="N29" s="6" t="n"/>
      <c r="O29" s="13" t="n"/>
      <c r="P29" s="6" t="inlineStr">
        <is>
          <t>[2026-10-12] 2026-10-12：三套獨立部署（R-34），監控集中在一個面板，告警寫明品牌。
[2026-10-14] 2026-10-14：admin 的「系統健康」頁只放摘要和外部監控連結，錯誤追蹤與告警用外部服務，不在後台自己做。</t>
        </is>
      </c>
    </row>
    <row r="30" ht="60" customHeight="1">
      <c r="A30" s="13" t="inlineStr">
        <is>
          <t>P2-07</t>
        </is>
      </c>
      <c r="B30" s="13" t="inlineStr">
        <is>
          <t>P2</t>
        </is>
      </c>
      <c r="C30" s="13" t="inlineStr">
        <is>
          <t>3 封閉內測</t>
        </is>
      </c>
      <c r="D30" s="6" t="inlineStr">
        <is>
          <t>運維</t>
        </is>
      </c>
      <c r="E30" s="6" t="inlineStr">
        <is>
          <t>資料庫備份與還原演練</t>
        </is>
      </c>
      <c r="F30" s="13" t="inlineStr">
        <is>
          <t>未開始</t>
        </is>
      </c>
      <c r="G30" s="13" t="inlineStr">
        <is>
          <t>未測試</t>
        </is>
      </c>
      <c r="H30" s="13" t="n"/>
      <c r="I30" s="6" t="inlineStr">
        <is>
          <t>自架 Supabase，沒看到備份策略：硬碟壞掉就等於失去所有孩子的記憶。</t>
        </is>
      </c>
      <c r="J30" s="6" t="inlineStr">
        <is>
          <t>伺服器上的自架 Supabase</t>
        </is>
      </c>
      <c r="K30" s="6" t="inlineStr">
        <is>
          <t>每日自動備份到異地，保留 30 天；做過一次完整還原。</t>
        </is>
      </c>
      <c r="L30" s="6" t="inlineStr">
        <is>
          <t>從備份還原到新實例，核對主要表的行數一致。</t>
        </is>
      </c>
      <c r="M30" s="13" t="n"/>
      <c r="N30" s="6" t="n"/>
      <c r="O30" s="13" t="n"/>
      <c r="P30" s="6" t="inlineStr">
        <is>
          <t>[2026-10-12] 2026-10-12：改為三套獨立部署（R-34），備份和還原演練三套都要做，由同一個腳本循環。</t>
        </is>
      </c>
    </row>
    <row r="31" ht="46" customHeight="1">
      <c r="A31" s="13" t="inlineStr">
        <is>
          <t>P2-08</t>
        </is>
      </c>
      <c r="B31" s="13" t="inlineStr">
        <is>
          <t>P2</t>
        </is>
      </c>
      <c r="C31" s="13" t="inlineStr">
        <is>
          <t>4 量產出貨</t>
        </is>
      </c>
      <c r="D31" s="6" t="inlineStr">
        <is>
          <t>擴展性</t>
        </is>
      </c>
      <c r="E31" s="6" t="inlineStr">
        <is>
          <t>多實例擴展</t>
        </is>
      </c>
      <c r="F31" s="13" t="inlineStr">
        <is>
          <t>未開始</t>
        </is>
      </c>
      <c r="G31" s="13" t="inlineStr">
        <is>
          <t>未測試</t>
        </is>
      </c>
      <c r="H31" s="13" t="n"/>
      <c r="I31" s="6" t="inlineStr">
        <is>
          <t>session 登記在進程記憶體裡，只能跑單實例；單機上限未知。</t>
        </is>
      </c>
      <c r="J31" s="6" t="inlineStr">
        <is>
          <t>server/fastapi/server.py:35
server/fastapi/memory/session.py:564</t>
        </is>
      </c>
      <c r="K31" s="6" t="inlineStr">
        <is>
          <t>壓測得出單機並發上限；需要時按 user_id 做 sticky routing，或把 session registry 移到 Redis。</t>
        </is>
      </c>
      <c r="L31" s="6" t="inlineStr">
        <is>
          <t>① 壓測報告
② 兩個實例下，device_refresh 對同一台設備仍然生效</t>
        </is>
      </c>
      <c r="M31" s="13" t="n"/>
      <c r="N31" s="6" t="n"/>
      <c r="O31" s="13" t="n"/>
      <c r="P31" s="6" t="inlineStr">
        <is>
          <t>優先次序取決於 Q4（第一年設備數量）。</t>
        </is>
      </c>
    </row>
    <row r="32" ht="256" customHeight="1">
      <c r="A32" s="13" t="inlineStr">
        <is>
          <t>P2-09</t>
        </is>
      </c>
      <c r="B32" s="13" t="inlineStr">
        <is>
          <t>P2</t>
        </is>
      </c>
      <c r="C32" s="13" t="inlineStr">
        <is>
          <t>2 內測準備</t>
        </is>
      </c>
      <c r="D32" s="6" t="inlineStr">
        <is>
          <t>成本/濫用</t>
        </is>
      </c>
      <c r="E32" s="6" t="inlineStr">
        <is>
          <t>每台設備成本監控</t>
        </is>
      </c>
      <c r="F32" s="13" t="inlineStr">
        <is>
          <t>進行中</t>
        </is>
      </c>
      <c r="G32" s="13" t="inlineStr">
        <is>
          <t>部分通過</t>
        </is>
      </c>
      <c r="H32" s="13" t="n"/>
      <c r="I32" s="6" t="inlineStr">
        <is>
          <t>不知道每次對話、每台設備每月花多少錢，無法定價。</t>
        </is>
      </c>
      <c r="J32" s="6" t="inlineStr">
        <is>
          <t>turn_metrics
各供應商帳單</t>
        </is>
      </c>
      <c r="K32" s="6" t="inlineStr">
        <is>
          <t>每個 session 記錄 STT 秒數、LLM token、TTS 字數並換算成本；admin 頁顯示每台設備的月成本。</t>
        </is>
      </c>
      <c r="L32" s="6" t="inlineStr">
        <is>
          <t>抽 10 個 session 與供應商帳單對帳，誤差 &lt;10%。</t>
        </is>
      </c>
      <c r="M32" s="13" t="n"/>
      <c r="N32" s="6" t="inlineStr">
        <is>
          <t>本機：pytest 239 passed（新增 8 項：STT/TTS 用量入行、遲到的用量帶到下一行、session 結束寫 usage 行、設備 ID、同一輪多次 LLM 相加、記憶整理的 token 即使回覆解析失敗也記錄並記到該設備）。模擬板子跑 2 輪（本機語音伺服器 7865）：送 2.24s 音訊 → stt_audio_ms=2242（兩輪皆是）；每輪有 tts_chars、token、device_id；session 結束的記憶整理寫成 memory 行（deepseek-v4-flash 946/10 token）。Usage 頁按設備與日期顯示 HK$，改費率即重算並進審計。未做：抽 10 個 session 與 Azure/MiniMax/OpenRouter 帳單對帳（需用戶提供帳單）、部署線上。</t>
        </is>
      </c>
      <c r="O32" s="13" t="inlineStr">
        <is>
          <t>8e3b2c5</t>
        </is>
      </c>
      <c r="P32" s="6" t="inlineStr">
        <is>
          <t>[2026-10-14] 2026-10-14：turn_metrics 目前只記 user_id 和 chat_group_id，沒有設備，也沒有 STT 秒數（只有 transcript_chars／response_chars），要改語音伺服器補上，並加單價表。頁面樣子在 preview/UsagePreview.tsx。內部測試每週要報每台每月成本（R-07），數據只能從開始記錄那天累積，建議 10/30 前做好。
[2026-10-14] 2026-10-14：已合併進 dev（rebase 後 commit 8e3b2c5，原 e438bab）。部署用 docs/deploy/release-2026-10-14-audit-usage.sh：先套兩個 migration，再換語音伺服器和網頁映像；第 5 步自動檢查，第 6 步在跟已綁定的玩具對話後確認用量行。</t>
        </is>
      </c>
    </row>
    <row r="33" ht="409" customHeight="1">
      <c r="A33" s="13" t="inlineStr">
        <is>
          <t>R-01</t>
        </is>
      </c>
      <c r="B33" s="13" t="inlineStr">
        <is>
          <t>R</t>
        </is>
      </c>
      <c r="C33" s="13" t="inlineStr">
        <is>
          <t>1 止血定案</t>
        </is>
      </c>
      <c r="D33" s="6" t="inlineStr">
        <is>
          <t>硬件</t>
        </is>
      </c>
      <c r="E33" s="6" t="inlineStr">
        <is>
          <t>選定量產板子</t>
        </is>
      </c>
      <c r="F33" s="13" t="inlineStr">
        <is>
          <t>進行中</t>
        </is>
      </c>
      <c r="G33" s="13" t="inlineStr">
        <is>
          <t>未測試</t>
        </is>
      </c>
      <c r="H33" s="13" t="n"/>
      <c r="I33" s="6" t="inlineStr">
        <is>
          <t>第一批的板子還沒定：Waveshare ESP32-S3-AUDIO-Board 已對線上伺服器跑通完整對話；另一塊類似 xmini-c3 的新板還沒到貨。內測必須用將來量產的那塊板。</t>
        </is>
      </c>
      <c r="J33" s="6" t="inlineStr">
        <is>
          <t>firmware-arduino/BOARDS.md
firmware-arduino/src/BoardConfig.h
firmware-arduino/src/Config.cpp</t>
        </is>
      </c>
      <c r="K33" s="6" t="inlineStr">
        <is>
          <t>已定案 Spotpear AI Toy（用戶 10/07 決定）；評分表 ①–⑦ 在 Spotpear 上實測並記錄結果，沒有否決性問題（如 2 小時內 OOM 重啟、C3 無法啟用 Secure Boot v2＋Flash 加密、無認證模組）。</t>
        </is>
      </c>
      <c r="L33" s="6" t="inlineStr">
        <is>
          <t>評分表逐項實測：
① 連續對話 2 小時不重啟、不斷線
② 對話中最低剩餘 heap 與最大連續塊
③ 電量讀取與續航（連續對話／待機）
④ 休眠與喚醒
⑤ 裝殼後喇叭響度、1 米外收音
⑥ Secure Boot v2＋Flash 加密燒錄流程
⑦ 500 片價格、交期、FCC／CE 報告、是否已認證模組
⑧ 加分：螢幕（顯示配對碼）、現成外殼</t>
        </is>
      </c>
      <c r="M33" s="13" t="n"/>
      <c r="N33" s="6" t="n"/>
      <c r="O33" s="13" t="n"/>
      <c r="P33" s="6" t="inlineStr">
        <is>
          <t>新板到貨前，可先從 xiaozhi-esp32 的 config.h 取腳位預先移植。
[2026-10-05] 2026-10-05：期限由「最遲 10/30」收緊為 10/16，外殼、認證、生產都在等這個決定。
[2026-10-05] 2026-10-05：候選板 toy-ai-core-c3-1.54（ESP32-C3、16MB、無 PSRAM）已到貨並移植，env toy-ai-core-c3，引腳由原廠固件反彙編取得（不在小智官方倉庫），原廠固件已整片備份。實測：開機、ES8311 雙向、喇叭出聲、WS2812 狀態燈、SoftAP；WiFi 開啟後內部 RAM 空閒 73KB／最大塊 53KB（未對話）。評分表尚未測：①②⑤⑥⑦；③原廠固件無電池檢測代碼，可能沒有電池；④本版不休眠；⑧有 1.54 寸 ST7789 屏，本版未驅動。
[2026-10-05] 2026-10-05 補充 toy-ai-core-c3 評分表③：板上已裝電池，但讀不到電量。原廠固件的 GetBatteryLevel 直接 return false；C3 能做 ADC 的腳只有 GPIO0–5，全被屏幕(0/1)、LED(2)、I2C(3/4)、I2S(5) 佔用，所以軟件無法讀電池電壓。要讀電量需改硬件：無屏版可把屏幕的 GPIO0/1 讓出來接分壓電阻，或在現有 I2C 上加電量計（如 MAX17048）。GPIO12/13 尚空，可能接了充電狀態腳，未探測。
[2026-10-05] 2026-10-05：用戶表示 Spotpear AI Toy（即 toy-ai-core-c3-1.54，env 改名 spotpear-ai-toy）大概率就是量產板；已和用戶跑通 app 綁定和完整對話。電池檢測的改板要求另立任務。
[2026-10-07] 2026-10-07：用戶定案 Spotpear AI Toy（toy-ai-core-c3-1.54，env spotpear-ai-toy）為量產板，不再等另一塊板。驗收改為在 Spotpear 上測完評分表，確認沒有否決性問題；仍缺 ①②⑥⑦。</t>
        </is>
      </c>
    </row>
    <row r="34" ht="409" customHeight="1">
      <c r="A34" s="13" t="inlineStr">
        <is>
          <t>R-02</t>
        </is>
      </c>
      <c r="B34" s="13" t="inlineStr">
        <is>
          <t>R</t>
        </is>
      </c>
      <c r="C34" s="13" t="inlineStr">
        <is>
          <t>1 止血定案</t>
        </is>
      </c>
      <c r="D34" s="6" t="inlineStr">
        <is>
          <t>內容</t>
        </is>
      </c>
      <c r="E34" s="6" t="inlineStr">
        <is>
          <t>角色收窄到 5–8 個粵語陪伴角色</t>
        </is>
      </c>
      <c r="F34" s="13" t="inlineStr">
        <is>
          <t>進行中</t>
        </is>
      </c>
      <c r="G34" s="13" t="inlineStr">
        <is>
          <t>通過</t>
        </is>
      </c>
      <c r="H34" s="13" t="n"/>
      <c r="I34" s="6" t="inlineStr">
        <is>
          <t>現有 40 多個角色大多來自上游：有侵權風險（Batman、Iron Man、Gandalf、Elsa's Frozen Mystery）、涉及醫療（Blood test pal、Luna the Epilepsy Guardian、Vax Buddy）、語氣不適合兒童（Kai Indiebrew 等），而且多數不是粵語。</t>
        </is>
      </c>
      <c r="J34" s="6" t="inlineStr">
        <is>
          <t>personalities 表（is_hidden）
server/fastapi/character_prompt.py
supabase/migrations/</t>
        </is>
      </c>
      <c r="K34" s="6" t="inlineStr">
        <is>
          <t>只保留 5–8 個自己設計的粵語陪伴角色，其餘設為 is_hidden；每個角色按 3–6 歲設計：句子短、用詞簡單、一次只問一個問題，不講恐怖、暴力或需要識字的內容。</t>
        </is>
      </c>
      <c r="L34" s="6" t="inlineStr">
        <is>
          <t>① 查 personalities 表，未隱藏的只剩選定角色
② Web 端角色列表只顯示這些
③ 每個角色用 10 句粵語對話抽查：每次回覆不超過 3 句，用詞 3–6 歲聽得懂，一次只問一個問題</t>
        </is>
      </c>
      <c r="M34" s="13" t="inlineStr">
        <is>
          <t>Q5</t>
        </is>
      </c>
      <c r="N34" s="6" t="inlineStr">
        <is>
          <t>用戶已確認角色陣容。本地 DB：① 未隱藏內建角色只剩 hk_ 6 個 ② localhost:3100 Children 頁只見 6 個、Story 頁只見叮叮兔/咪咪貓 ③ 每角色 10 句粵語，prompt 用伺服器同一套組裝、開場白按 pipecat 以 user 角色送出：gemma-4-26b 65/66 合格（1 句 4 句/2 問）；DeepSeek v4 flash 預設 reasoning 61/66（超標都只多 1–2 句）；全部無簡體、恐怖、拼字</t>
        </is>
      </c>
      <c r="O34" s="13" t="inlineStr">
        <is>
          <t>f72652b</t>
        </is>
      </c>
      <c r="P34" s="6" t="inlineStr">
        <is>
          <t>[2026-09-30] Q5：3–6 歲
[2026-10-07] 每個角色現可按語言設定 MiniMax 聲線（personalities.voices，admin 角色頁有廣東話/普通話欄；commit 9557ce5，per-language-voices branch，未 push、雲端 migration 未 apply）。選定角色時可給每個角色一把不同的 Cantonese_* 聲線；MiniMax 只有 6 把粵語聲（男聲僅 PlayfulMan、ProfessionalHost（M)）。本地 AI Hulk/Iron Man 已設粵語聲並實際合成成功。
[2026-10-07] 未完成：(1) 角色陣容待用戶確認 (2) 線上 LLM 若是 minimax-m2.7 則③不過，需確認雲端 app_settings 的 llm_model（本地是 google/gemma-4-26b-a4b-it）(3) migration 未套到雲端，要加入 release runbook 的 migration 清單 (4) 頭像為佔位扁平圖。另：測試帳號自建的 AI Hulk 是自訂角色（creator_id 非空），不受隱藏影響，但屬 Marvel IP
[2026-10-07] 條件：線上 LLM 要用 gemma-4-26b，或 DeepSeek v4 flash 開 reasoning；DeepSeek 關 reasoning（effort=none）只有 49/66，多數 4 句。待辦：migration 20261007170000 未套到雲端，下次發布的 runbook 要列入（連同 140000、160000）。另發現：OpenRouter 上 DeepSeek v4 flash 部分供應商壞——DeepInfra 回傳字面 &lt;｜end▁of▁sentence｜&gt;、Venice/Parasail 回空內容，用 DeepSeek 時要在 app_settings 的 provider_order 固定好的供應商</t>
        </is>
      </c>
    </row>
    <row r="35" ht="130" customHeight="1">
      <c r="A35" s="13" t="inlineStr">
        <is>
          <t>R-03</t>
        </is>
      </c>
      <c r="B35" s="13" t="inlineStr">
        <is>
          <t>R</t>
        </is>
      </c>
      <c r="C35" s="13" t="inlineStr">
        <is>
          <t>1 止血定案</t>
        </is>
      </c>
      <c r="D35" s="6" t="inlineStr">
        <is>
          <t>工程</t>
        </is>
      </c>
      <c r="E35" s="6" t="inlineStr">
        <is>
          <t>移除不用的 Deno／Cloudflare 後端與上游預設主機</t>
        </is>
      </c>
      <c r="F35" s="13" t="inlineStr">
        <is>
          <t>已完成</t>
        </is>
      </c>
      <c r="G35" s="13" t="inlineStr">
        <is>
          <t>通過</t>
        </is>
      </c>
      <c r="H35" s="13" t="inlineStr">
        <is>
          <t>2026-10-07</t>
        </is>
      </c>
      <c r="I35" s="6" t="inlineStr">
        <is>
          <t>網頁端只連 FastAPI；Deno、Cloudflare 只剩韌體的編譯選項和佔位符，另外還留著上游的 Railway 主機（elato-pyserver-production.up.railway.app）。留著會增加維護面，也可能被誤設成連到別人的伺服器。</t>
        </is>
      </c>
      <c r="J35" s="6" t="inlineStr">
        <is>
          <t>server/deno/
server/cloudflare/
firmware-arduino/src/Config.cpp:48, :67, :93
README.md</t>
        </is>
      </c>
      <c r="K35" s="6" t="inlineStr">
        <is>
          <t>刪除兩個後端目錄；韌體只保留 FastAPI 路線（移除 VOICE_SERVER_DENO／_CLOUDFLARE 分支與 Railway 主機）；README 只描述 FastAPI。</t>
        </is>
      </c>
      <c r="L35" s="6" t="inlineStr">
        <is>
          <t>① grep 全 repo 找不到 deno.dev、workers.dev、railway.app、VOICE_SERVER_DENO、VOICE_SERVER_CLOUDFLARE
② 各板的 pio run 編譯通過
③ FastAPI 測試通過</t>
        </is>
      </c>
      <c r="M35" s="13" t="n"/>
      <c r="N35" s="6" t="inlineStr">
        <is>
          <t>① grep deno.dev|workers.dev|railway.app|VOICE_SERVER_DENO|VOICE_SERVER_CLOUDFLARE 全 repo → 只剩 seed.json 的任務描述本身 ② pio run 18 個 env 全 SUCCESS（S3 devkit/Waveshare/xmini-c3/Spotpear 各變體）③ FastAPI pytest 182 passed；另 tsc --noEmit 通過</t>
        </is>
      </c>
      <c r="O35" s="13" t="inlineStr">
        <is>
          <t>c3c5249</t>
        </is>
      </c>
      <c r="P35" s="6" t="inlineStr">
        <is>
          <t>[2026-10-07] 同時移除 ELATO_MODE（Railway + www.elatoai.com 及其證書）；前端 auth callback 原本在 NEXT_PUBLIC_VERCEL_ENV=production 時導去 elatoai.com，改為讀 runtime 的 SITE_URL（預設 localhost:3000）——部署時要在 frontend .env.production 設 SITE_URL</t>
        </is>
      </c>
    </row>
    <row r="36" ht="74" customHeight="1">
      <c r="A36" s="13" t="inlineStr">
        <is>
          <t>R-04</t>
        </is>
      </c>
      <c r="B36" s="13" t="inlineStr">
        <is>
          <t>R</t>
        </is>
      </c>
      <c r="C36" s="13" t="inlineStr">
        <is>
          <t>2 內測準備</t>
        </is>
      </c>
      <c r="D36" s="6" t="inlineStr">
        <is>
          <t>體驗</t>
        </is>
      </c>
      <c r="E36" s="6" t="inlineStr">
        <is>
          <t>粵語質量評測</t>
        </is>
      </c>
      <c r="F36" s="13" t="inlineStr">
        <is>
          <t>未開始</t>
        </is>
      </c>
      <c r="G36" s="13" t="inlineStr">
        <is>
          <t>未測試</t>
        </is>
      </c>
      <c r="H36" s="13" t="n"/>
      <c r="I36" s="6" t="inlineStr">
        <is>
          <t>香港市場的核心體驗還沒驗證：LLM 可能輸出書面語而不是口語粵語；Azure 對兒童聲音的識別率未知；中英夾雜（「我今日去咗 playground」）未測。</t>
        </is>
      </c>
      <c r="J36" s="6" t="inlineStr">
        <is>
          <t>server/fastapi/language_profiles.py
server/fastapi/models/stt/azure.py
OpenRouter 模型設定（admin 頁）</t>
        </is>
      </c>
      <c r="K36" s="6" t="inlineStr">
        <is>
          <t>有一套粵語評測集（兒童錄音＋文字提示）；選定的 STT 與 LLM 達到門檻：兒童語音字錯率 ≤15%、口語粵語回覆 ≥90%、中英夾雜句能正確理解。</t>
        </is>
      </c>
      <c r="L36" s="6" t="inlineStr">
        <is>
          <t>① 30 段 3–6 歲兒童的粵語錄音（3 歲、4–5 歲、6 歲都要有，含中英夾雜）測 STT 字錯率
② 50 條提示比較 2–3 個候選 LLM 的口語粵語比例
③ 結果與腳本放在 server/fastapi/evals/</t>
        </is>
      </c>
      <c r="M36" s="13" t="n"/>
      <c r="N36" s="6" t="n"/>
      <c r="O36" s="13" t="n"/>
      <c r="P36" s="6" t="inlineStr">
        <is>
          <t>門檻是建議值，可按首輪結果與你討論後調整。
[2026-09-30] Q5：3–6 歲；3 歲發音較不清，字錯率門檻可能要按首輪結果再討論</t>
        </is>
      </c>
    </row>
    <row r="37" ht="74" customHeight="1">
      <c r="A37" s="13" t="inlineStr">
        <is>
          <t>R-05</t>
        </is>
      </c>
      <c r="B37" s="13" t="inlineStr">
        <is>
          <t>R</t>
        </is>
      </c>
      <c r="C37" s="13" t="inlineStr">
        <is>
          <t>2 內測準備</t>
        </is>
      </c>
      <c r="D37" s="6" t="inlineStr">
        <is>
          <t>硬件</t>
        </is>
      </c>
      <c r="E37" s="6" t="inlineStr">
        <is>
          <t>內測版外殼（3D 打印 20 台）</t>
        </is>
      </c>
      <c r="F37" s="13" t="inlineStr">
        <is>
          <t>未開始</t>
        </is>
      </c>
      <c r="G37" s="13" t="inlineStr">
        <is>
          <t>未測試</t>
        </is>
      </c>
      <c r="H37" s="13" t="n"/>
      <c r="I37" s="6" t="inlineStr">
        <is>
          <t>內測家庭需要能直接給小朋友用的外殼；GPIO0 是唯一能喚醒、也是按住說話的鍵，必須做成小朋友按得到的大按鍵。</t>
        </is>
      </c>
      <c r="J37" s="6" t="inlineStr">
        <is>
          <t>選定板子的尺寸圖與腳位</t>
        </is>
      </c>
      <c r="K37" s="6" t="inlineStr">
        <is>
          <t>20 台裝殼完成：大按鍵對應 GPIO0；喇叭與麥克風開孔不影響聲音；能充電、看得到燈號；沒有尖角和可吞食的小零件。</t>
        </is>
      </c>
      <c r="L37" s="6" t="inlineStr">
        <is>
          <t>① 裝殼前後各測一次喇叭響度與 1 米收音
② 3 歲、4–5 歲、6 歲各至少一位小朋友試用：按得動大按鍵，並理解「按住說話、放開聽回覆」
③ 1 米高跌落測試，沒有零件脫落</t>
        </is>
      </c>
      <c r="M37" s="13" t="inlineStr">
        <is>
          <t>R-01</t>
        </is>
      </c>
      <c r="N37" s="6" t="n"/>
      <c r="O37" s="13" t="n"/>
      <c r="P37" s="6" t="inlineStr">
        <is>
          <t>[2026-09-30] Q5：3–6 歲
[2026-10-12] 2026-10-12：外殼改為玩具廠做毛公仔＋內置機芯盒；內部測試用工廠第二版樣品（W4 約 20 隻）代替 3D 打印外殼。</t>
        </is>
      </c>
    </row>
    <row r="38" ht="116" customHeight="1">
      <c r="A38" s="13" t="inlineStr">
        <is>
          <t>R-06</t>
        </is>
      </c>
      <c r="B38" s="13" t="inlineStr">
        <is>
          <t>R</t>
        </is>
      </c>
      <c r="C38" s="13" t="inlineStr">
        <is>
          <t>2 內測準備</t>
        </is>
      </c>
      <c r="D38" s="6" t="inlineStr">
        <is>
          <t>體驗</t>
        </is>
      </c>
      <c r="E38" s="6" t="inlineStr">
        <is>
          <t>家長自助上手流程</t>
        </is>
      </c>
      <c r="F38" s="13" t="inlineStr">
        <is>
          <t>未開始</t>
        </is>
      </c>
      <c r="G38" s="13" t="inlineStr">
        <is>
          <t>未測試</t>
        </is>
      </c>
      <c r="H38" s="13" t="n"/>
      <c r="I38" s="6" t="inlineStr">
        <is>
          <t>內測家庭要自己安裝；配網、認領、選角色的流程從沒讓非開發者試過。</t>
        </is>
      </c>
      <c r="J38" s="6" t="inlineStr">
        <is>
          <t>firmware-arduino/src/WifiManager.cpp（配網）
frontend-nextjs 認領與設定頁</t>
        </is>
      </c>
      <c r="K38" s="6" t="inlineStr">
        <is>
          <t>家長只看盒內說明，10 分鐘內從開箱到第一次對話。</t>
        </is>
      </c>
      <c r="L38" s="6" t="inlineStr">
        <is>
          <t>找 3 位非團隊成員從零開始，記錄耗時與卡住的步驟；3 人都在 10 分鐘內完成。</t>
        </is>
      </c>
      <c r="M38" s="13" t="inlineStr">
        <is>
          <t>P0-11</t>
        </is>
      </c>
      <c r="N38" s="6" t="n"/>
      <c r="O38" s="13" t="n"/>
      <c r="P38" s="6" t="inlineStr">
        <is>
          <t>[2026-10-09] 2026-10-09 配網熱點由所有板同名的 ELATO-DEVICE 改為 AIBuddy-XXXX（STA MAC 尾 4 位，22ce0ae），App 的「找不到設備」提示同步改；雲端 1.0.1 已 OTA 推出。62:70 用手機連 AIBuddy-6270 配網成功。家長自助流程本身仍未找非團隊成員測試</t>
        </is>
      </c>
    </row>
    <row r="39" ht="214" customHeight="1">
      <c r="A39" s="13" t="inlineStr">
        <is>
          <t>R-07</t>
        </is>
      </c>
      <c r="B39" s="13" t="inlineStr">
        <is>
          <t>R</t>
        </is>
      </c>
      <c r="C39" s="13" t="inlineStr">
        <is>
          <t>3 封閉內測</t>
        </is>
      </c>
      <c r="D39" s="6" t="inlineStr">
        <is>
          <t>內測</t>
        </is>
      </c>
      <c r="E39" s="6" t="inlineStr">
        <is>
          <t>20 個家庭封閉內測</t>
        </is>
      </c>
      <c r="F39" s="13" t="inlineStr">
        <is>
          <t>未開始</t>
        </is>
      </c>
      <c r="G39" s="13" t="inlineStr">
        <is>
          <t>未測試</t>
        </is>
      </c>
      <c r="H39" s="13" t="n"/>
      <c r="I39" s="6" t="inlineStr">
        <is>
          <t>還不知道孩子會不會持續使用，也不知道真實使用量與每台成本。</t>
        </is>
      </c>
      <c r="J39" s="6" t="inlineStr">
        <is>
          <t>turn_metrics
admin 頁</t>
        </is>
      </c>
      <c r="K39" s="6" t="inlineStr">
        <is>
          <t>改為內部測試（2026-10-12 用戶決定，原為 20 個外部家庭）：團隊成員及家人用 20 台至少 4 週，三個品牌（馬會快活、政協青年聯會版、AI Buddy）的角色都要測；每週記錄：每次對話輪數、首字延遲 p95、每台每月成本、安全事件數、崩潰與斷線次數、測試者回饋。</t>
        </is>
      </c>
      <c r="L39" s="6" t="inlineStr">
        <is>
          <t>第 4 週結束時出一份內部測試報告，上面每個指標都有數據。</t>
        </is>
      </c>
      <c r="M39" s="13" t="inlineStr">
        <is>
          <t>R-13</t>
        </is>
      </c>
      <c r="N39" s="6" t="n"/>
      <c r="O39" s="13" t="n"/>
      <c r="P39" s="6" t="inlineStr">
        <is>
          <t>依賴包含第 1、2 階段的全部安全項：P0 沒過不讓真實家庭使用。
[2026-09-30] 新的權限項也要在內測前完成
[2026-10-05] 改為以 CP1（R-13）把關：R-13 已涵蓋原有全部依賴。
[2026-10-12] 2026-10-12 用戶決定 11 月的 20 個家庭內測改為內部測試（標題保留原文）。不再需要外部家庭的內測同意書；代價是上市前沒有真實家庭的留存和兒童語音數據，R-04 用同事孩子的錄音補上，1/29 交付後兩週每天看數據。</t>
        </is>
      </c>
    </row>
    <row r="40" ht="340" customHeight="1">
      <c r="A40" s="13" t="inlineStr">
        <is>
          <t>R-08</t>
        </is>
      </c>
      <c r="B40" s="13" t="inlineStr">
        <is>
          <t>R</t>
        </is>
      </c>
      <c r="C40" s="13" t="inlineStr">
        <is>
          <t>3 封閉內測</t>
        </is>
      </c>
      <c r="D40" s="6" t="inlineStr">
        <is>
          <t>決策</t>
        </is>
      </c>
      <c r="E40" s="6" t="inlineStr">
        <is>
          <t>第 8 週關卡決策</t>
        </is>
      </c>
      <c r="F40" s="13" t="inlineStr">
        <is>
          <t>未開始</t>
        </is>
      </c>
      <c r="G40" s="13" t="inlineStr">
        <is>
          <t>未測試</t>
        </is>
      </c>
      <c r="H40" s="13" t="n"/>
      <c r="I40" s="6" t="inlineStr">
        <is>
          <t>批量數量、定價、是否延期都要用內測數據決定，不能事前拍板。</t>
        </is>
      </c>
      <c r="J40" s="6" t="inlineStr">
        <is>
          <t>R-07 內測報告
P2-09 成本數據</t>
        </is>
      </c>
      <c r="K40" s="6" t="inlineStr">
        <is>
          <t>CP2：11/27 前寫下決定及依據：① 品牌 C（AI Buddy 自有 IP）的首批數量，以及是否 1/15 出貨（品牌 A 馬會 2,500、品牌 B 政協青年聯會版 500 已定）② 品牌 C 的一次性售價及包含幾年服務（不收月費；A、B 按合約）③ 是否延期（任何 P0 沒過就不出貨）。同時硬件認證必須已送測（P1-08），量產外殼按決定的數量落單（R-09）。CP2 遲超過 2 週，就要評估新年前交付的風險。</t>
        </is>
      </c>
      <c r="L40" s="6" t="inlineStr">
        <is>
          <t>決策文件經你確認。</t>
        </is>
      </c>
      <c r="M40" s="13" t="inlineStr">
        <is>
          <t>R-07, P2-09, P1-08</t>
        </is>
      </c>
      <c r="N40" s="6" t="n"/>
      <c r="O40" s="13" t="n"/>
      <c r="P40" s="6" t="inlineStr">
        <is>
          <t>[2026-10-05] 2026-10-05：定為 CP2；收費方式已定為一次性付款、不收月費。
[2026-10-12] 2026-10-12 用戶確認三個品牌與數量：A 香港賽馬會（快活）2,500 隻、B 政協青年聯會版 500 隻、C 自家 AI Buddy（自有 IP）未定。量產板最遲 11/6 按 3,000 台加備品落單，早於 CP2。
[2026-10-12] 2026-10-12：品牌 B 政協青年聯會版的用戶是成人會員；品牌 C 即現有的 AI Buddy 兒童陪伴版（3–6 歲）。A、B 都是成人，兒童專屬項（P1-09 家長鎖、P1-04 的家長同意部分、R-12 每日上限）只在 C 出貨時才卡出貨。
[2026-10-13] 2026-10-13：1/15 只出快活和政協青年聯會兩個品牌（AI Buddy 延後），Tool call 只做調音量和結束對話，RAG v1 只放馬會第一批資料（答對率 80%，婉拒貼士 100%）。關卡決策按這個範圍做。</t>
        </is>
      </c>
    </row>
    <row r="41" ht="88" customHeight="1">
      <c r="A41" s="13" t="inlineStr">
        <is>
          <t>R-09</t>
        </is>
      </c>
      <c r="B41" s="13" t="inlineStr">
        <is>
          <t>R</t>
        </is>
      </c>
      <c r="C41" s="13" t="inlineStr">
        <is>
          <t>4 量產出貨</t>
        </is>
      </c>
      <c r="D41" s="6" t="inlineStr">
        <is>
          <t>硬件</t>
        </is>
      </c>
      <c r="E41" s="6" t="inlineStr">
        <is>
          <t>量產外殼（真空複模）</t>
        </is>
      </c>
      <c r="F41" s="13" t="inlineStr">
        <is>
          <t>未開始</t>
        </is>
      </c>
      <c r="G41" s="13" t="inlineStr">
        <is>
          <t>未測試</t>
        </is>
      </c>
      <c r="H41" s="13" t="n"/>
      <c r="I41" s="6" t="inlineStr">
        <is>
          <t>100–500 台的外殼：開注塑模具來不及，真空複模通常 2–3 週交貨。</t>
        </is>
      </c>
      <c r="J41" s="6" t="inlineStr">
        <is>
          <t>R-05 的外殼設計</t>
        </is>
      </c>
      <c r="K41" s="6" t="inlineStr">
        <is>
          <t>按 R-08 定的數量下單並驗收；尺寸、按鍵手感、開孔與內測版一致或更好。</t>
        </is>
      </c>
      <c r="L41" s="6" t="inlineStr">
        <is>
          <t>抽檢 10%：裝配、按鍵、聲音、跌落測試。</t>
        </is>
      </c>
      <c r="M41" s="13" t="inlineStr">
        <is>
          <t>R-08, R-05, Q11</t>
        </is>
      </c>
      <c r="N41" s="6" t="n"/>
      <c r="O41" s="13" t="n"/>
      <c r="P41" s="6" t="inlineStr">
        <is>
          <t>[2026-10-12] 2026-10-12：量產外殼改為玩具廠的毛公仔＋機芯盒（鋁模），不是真空複模。PP 樣 11/27、試產 12/7、大貨 12/14–12/31，見 docs/毛公仔打版與量產時間表_草案v0.2.xlsx。</t>
        </is>
      </c>
    </row>
    <row r="42" ht="409" customHeight="1">
      <c r="A42" s="13" t="inlineStr">
        <is>
          <t>R-10</t>
        </is>
      </c>
      <c r="B42" s="13" t="inlineStr">
        <is>
          <t>R</t>
        </is>
      </c>
      <c r="C42" s="13" t="inlineStr">
        <is>
          <t>4 量產出貨</t>
        </is>
      </c>
      <c r="D42" s="6" t="inlineStr">
        <is>
          <t>生產</t>
        </is>
      </c>
      <c r="E42" s="6" t="inlineStr">
        <is>
          <t>出廠流程</t>
        </is>
      </c>
      <c r="F42" s="13" t="inlineStr">
        <is>
          <t>未開始</t>
        </is>
      </c>
      <c r="G42" s="13" t="inlineStr">
        <is>
          <t>未測試</t>
        </is>
      </c>
      <c r="H42" s="13" t="n"/>
      <c r="I42" s="6" t="inlineStr">
        <is>
          <t>每台出廠都要寫入設備密鑰、開啟 Flash 加密、通過自檢；目前沒有這條流程。</t>
        </is>
      </c>
      <c r="J42" s="6" t="inlineStr">
        <is>
          <t>firmware-arduino/src/AudioSelfTest.cpp
P0-06 的設備密鑰
P0-14 的 Secure Boot／Flash 加密</t>
        </is>
      </c>
      <c r="K42" s="6" t="inlineStr">
        <is>
          <t>兩段式出廠流程：① Spotpear 出貨前燒共用出廠韌體（不含密鑰、不分品牌、不含某個 IP，含最終 bootloader、分區表、Secure Boot），附每片 MAC 清單 ② 玩具廠裝機芯盒工位用我方電腦和腳本：經序列埠寫入設備密鑰 → 選品牌和款式 → 自檢（喇叭、麥克風、按鍵、燈、電池、WiFi）→ 經 HTTPS 按 MAC 登記設備，寫入該公仔的 ip_key 和這個 IP 的預設角色（R-38）；每台留一行 QC 記錄；工廠工人照作業指導書即可操作，每台約 1.5 分鐘。</t>
        </is>
      </c>
      <c r="L42" s="6" t="inlineStr">
        <is>
          <t>用 Spotpear 燒好的板連續處理 10 台，其中至少兩種 IP，全部通過且記錄完整，devices.ip_key 與預設角色正確；混入一台壞板，自檢能攔下；混入一台未燒共用韌體的板，工位能識別並提示；登記失敗（例如斷網）時該台標為不合格、可重做，不會出現已寫密鑰但伺服器沒有記錄的設備。重燒 app 分區後 ip_key 仍在。</t>
        </is>
      </c>
      <c r="M42" s="13" t="inlineStr">
        <is>
          <t>P0-06, P0-14, R-01, P2-12, Q10, R-34, R-35, R-38, R-39</t>
        </is>
      </c>
      <c r="N42" s="6" t="n"/>
      <c r="O42" s="13" t="n"/>
      <c r="P42" s="6" t="inlineStr">
        <is>
          <t>[2026-10-12] 2026-10-12：燒錄地點未定（Q10），最遲 11/6。設備密鑰、品牌和款式都在出廠時寫入（三個品牌共用一個韌體）。
[2026-10-12] 2026-10-12 Q10 已定（燒共用韌體）。Spotpear 出貨測試第一次通電就會開 Secure Boot 和 Flash 加密，所以 11/27 交 Spotpear 的映像必須是最終版（P0-14 要在 W5 前驗證）；app 之後經 OTA 更新。
[2026-10-12] 2026-10-12：三個品牌分開部署後，出廠工位要把每台設備登記到該品牌那套的伺服器，並寫入該品牌的網址（R-35）。
[2026-10-13] 2026-10-13：工位登記要寫入該公仔的 ip_key 和預設角色（R-38）。IP 不編進共用韌體。
[2026-10-14] 2026-10-14：P2-12 定案後，工位多一步：按品牌寫入資源包（tools/build_assets.py --brand ... → esptool write_flash 0x810000），開機 log『Assets: brand ...crc ok』作自檢一項。
[2026-10-14] 2026-10-14：後台的 MAC 清單匯入、整批指定公仔、QC 結果查看拆成 R-39，與工位腳本一起試產。</t>
        </is>
      </c>
    </row>
    <row r="43" ht="242" customHeight="1">
      <c r="A43" s="13" t="inlineStr">
        <is>
          <t>R-11</t>
        </is>
      </c>
      <c r="B43" s="13" t="inlineStr">
        <is>
          <t>R</t>
        </is>
      </c>
      <c r="C43" s="13" t="inlineStr">
        <is>
          <t>4 量產出貨</t>
        </is>
      </c>
      <c r="D43" s="6" t="inlineStr">
        <is>
          <t>營運</t>
        </is>
      </c>
      <c r="E43" s="6" t="inlineStr">
        <is>
          <t>售後：客服、保修與換機</t>
        </is>
      </c>
      <c r="F43" s="13" t="inlineStr">
        <is>
          <t>未開始</t>
        </is>
      </c>
      <c r="G43" s="13" t="inlineStr">
        <is>
          <t>未測試</t>
        </is>
      </c>
      <c r="H43" s="13" t="n"/>
      <c r="I43" s="6" t="inlineStr">
        <is>
          <t>設備到了家長手上之後，沒有報修、換機、遠程診斷的流程。</t>
        </is>
      </c>
      <c r="J43" s="6" t="inlineStr">
        <is>
          <t>admin 頁（設備狀態）</t>
        </is>
      </c>
      <c r="K43" s="6" t="inlineStr">
        <is>
          <t>有客服聯絡方式、常見問題、保修條款、換機流程；admin 頁能看到單台設備的最後上線時間、韌體版本和錯誤，協助診斷。</t>
        </is>
      </c>
      <c r="L43" s="6" t="inlineStr">
        <is>
          <t>演練一次：模擬家長報修 → 診斷 → 換機，全程有記錄。</t>
        </is>
      </c>
      <c r="M43" s="13" t="inlineStr">
        <is>
          <t>P2-14, R-40</t>
        </is>
      </c>
      <c r="N43" s="6" t="n"/>
      <c r="O43" s="13" t="n"/>
      <c r="P43" s="6" t="inlineStr">
        <is>
          <t>[2026-09-30] v1 沒有客服角色，售後工具由超級管理員使用（Q9）
[2026-10-09] 換機時記憶不用搬：記憶跟帳號，同一帳號認領新設備就會繼續（P1-12 TC4）。
[2026-10-09] 更正（2026-10-09 晚）：記憶改成跟設備（P1-12），換新設備會從空白開始。換機流程要加「把舊設備的記憶搬到新設備」：把 memory_facts、memory_segments、conversations 的 device_id 從舊機改成新機（同一 user_id），並由超級管理員執行。
[2026-10-14] 2026-10-14：admin 端的診斷靠設備頁（P2-14），報修、換機、刪帳號的工具在客服查詢頁（R-40）。</t>
        </is>
      </c>
    </row>
    <row r="44" ht="102" customHeight="1">
      <c r="A44" s="13" t="inlineStr">
        <is>
          <t>R-12</t>
        </is>
      </c>
      <c r="B44" s="13" t="inlineStr">
        <is>
          <t>R</t>
        </is>
      </c>
      <c r="C44" s="13" t="inlineStr">
        <is>
          <t>3 封閉內測</t>
        </is>
      </c>
      <c r="D44" s="6" t="inlineStr">
        <is>
          <t>家長控制</t>
        </is>
      </c>
      <c r="E44" s="6" t="inlineStr">
        <is>
          <t>家長控制：每日使用上限和休息時段</t>
        </is>
      </c>
      <c r="F44" s="13" t="inlineStr">
        <is>
          <t>阻塞</t>
        </is>
      </c>
      <c r="G44" s="13" t="inlineStr">
        <is>
          <t>未測試</t>
        </is>
      </c>
      <c r="H44" s="13" t="n"/>
      <c r="I44" s="6" t="inlineStr">
        <is>
          <t>3–6 歲孩子的家長最在意每天用多久、睡覺時間玩具會不會還在說話；目前沒有任何使用時間限制，任何時候按鍵玩具都會回應。</t>
        </is>
      </c>
      <c r="J44" s="6" t="inlineStr">
        <is>
          <t>frontend-nextjs/app/components/Settings/（家長設定頁）
server/fastapi/server.py（/ws/esp32 開始 session 處）
users 表或新表（設定與每日用量）</t>
        </is>
      </c>
      <c r="K44" s="6" t="inlineStr">
        <is>
          <t>家長在設定頁設定每日上限（分鐘）與休息時段（例如 20:00–07:00），按孩子所在地區的時區計算；由伺服器端執行，韌體繞不過；到了上限或在休息時段內，玩具用一句溫和的話說明（例如「而家係休息時間，聽日再傾啦」）就結束，不進入對話；對話中途到了上限，說完當前這句再溫和收尾；家長看得到今天已用多少分鐘。</t>
        </is>
      </c>
      <c r="L44" s="6" t="inlineStr">
        <is>
          <t>① 上限設 5 分鐘，超過後新一輪被婉拒，跨過午夜後自動恢復
② 休息時段內按鍵，玩具只說提示語，沒有任何內容送到 LLM
③ 改了設定不用重開機，下一次按鍵就生效
④ 直接連 /ws/esp32 也繞不過（檢查在伺服器端）</t>
        </is>
      </c>
      <c r="M44" s="13" t="n"/>
      <c r="N44" s="6" t="n"/>
      <c r="O44" s="13" t="n"/>
      <c r="P44" s="6" t="inlineStr">
        <is>
          <t>[2026-09-30] 新增：用戶同意加入。「單按說話」模式暫不加入，等 R-05 的 3 歲試用結果再決定。
[2026-10-13] 2026-10-13 用戶決定：AI Buddy（品牌 C）延到 1/15 之後，本項不卡 1/15 出廠；AI Buddy 啟動時再開。</t>
        </is>
      </c>
    </row>
    <row r="45" ht="270" customHeight="1">
      <c r="A45" s="13" t="inlineStr">
        <is>
          <t>P0-15</t>
        </is>
      </c>
      <c r="B45" s="13" t="inlineStr">
        <is>
          <t>P0</t>
        </is>
      </c>
      <c r="C45" s="13" t="inlineStr">
        <is>
          <t>1 止血定案</t>
        </is>
      </c>
      <c r="D45" s="6" t="inlineStr">
        <is>
          <t>安全-權限</t>
        </is>
      </c>
      <c r="E45" s="6" t="inlineStr">
        <is>
          <t>角色表權限：只有內容管理員能發佈，關閉家長自建角色</t>
        </is>
      </c>
      <c r="F45" s="13" t="inlineStr">
        <is>
          <t>已完成</t>
        </is>
      </c>
      <c r="G45" s="13" t="inlineStr">
        <is>
          <t>通過</t>
        </is>
      </c>
      <c r="H45" s="13" t="inlineStr">
        <is>
          <t>2026-10-12</t>
        </is>
      </c>
      <c r="I45" s="6" t="inlineStr">
        <is>
          <t>personalities 表的 INSERT policy 是 WITH CHECK (true)，anon 與 authenticated 也有全部表權限：任何登入用戶都能插入一個沒有建立者的角色，它會出現在所有孩子的角色列表。家長也能在 /home/create 自建角色（v1 決定關閉，見 Q6）。</t>
        </is>
      </c>
      <c r="J45" s="6" t="inlineStr">
        <is>
          <t>supabase/migrations/20250417155518_remote_schema.sql:426
frontend-nextjs/db/personalities.ts:44, :81
frontend-nextjs/app/home/create/</t>
        </is>
      </c>
      <c r="K45" s="6" t="inlineStr">
        <is>
          <t>只有內容管理員或超級管理員（has_role）能新增、修改、下架角色；anon 與家長只能讀取已發佈（is_hidden=false）的內建角色，以及家長自己建立的角色；/home/create 入口撤下，不再接受新的家長自建角色；現有家長自建角色暫時保留可用，資料不動。</t>
        </is>
      </c>
      <c r="L45" s="6" t="inlineStr">
        <is>
          <t>① 家長 JWT 直接 POST /rest/v1/personalities 被拒
② anon 與家長讀不到隱藏角色或別人自建的角色
③ 內容管理員在 /admin 新增、修改、下架角色成功
④ 訪問 /home/create 回 404 或被轉走</t>
        </is>
      </c>
      <c r="M45" s="13" t="inlineStr">
        <is>
          <t>P0-12</t>
        </is>
      </c>
      <c r="N45" s="6" t="inlineStr">
        <is>
          <t>線上 2026-10-12：② anon 只見 6 個已發佈 hk_ 內建，查隱藏/醫生/家長自建 → []，anon POST → 401；① authenticated 寫入權限由 20261007140000 REVOKE（runbook 10/08 已套用）；用戶確認：④ 家長登入後 /home/create 轉回 /home ③ 管理員在 /admin 修改角色保存成功</t>
        </is>
      </c>
      <c r="O45" s="13" t="inlineStr">
        <is>
          <t>1d65398</t>
        </is>
      </c>
      <c r="P45" s="6" t="inlineStr">
        <is>
          <t>[2026-09-30] 新增
[2026-10-07] 分支 lock-character-writes（65ddb31 RLS、f3aafdd 撤 /home/create），未 merge、未套用到生產
[2026-10-07] 2026-10-07 用戶決定：現有家長自建角色暫時保留，不設為隱藏，驗收標準相應修改
[2026-10-07] 2026-10-07 已 merge 進 modes-and-ips（55df0a1）；③ 經 P0-12 本機驗證：內容管理員 aal2 經 /admin 新增、修改、下架內建角色成功。② 仍未做
[2026-10-07] 2026-10-07 migration 20261007190000 已在本機套用，未部署。家長自己建立的角色（含 is_hidden）仍可讀，符合驗收「自己建立的角色」；讀不到的是隱藏內建與別人自建。</t>
        </is>
      </c>
    </row>
    <row r="46" ht="256" customHeight="1">
      <c r="A46" s="13" t="inlineStr">
        <is>
          <t>P0-16</t>
        </is>
      </c>
      <c r="B46" s="13" t="inlineStr">
        <is>
          <t>P0</t>
        </is>
      </c>
      <c r="C46" s="13" t="inlineStr">
        <is>
          <t>1 止血定案</t>
        </is>
      </c>
      <c r="D46" s="6" t="inlineStr">
        <is>
          <t>安全-Web</t>
        </is>
      </c>
      <c r="E46" s="6" t="inlineStr">
        <is>
          <t>移除「醫生」身份與寫死的通關碼</t>
        </is>
      </c>
      <c r="F46" s="13" t="inlineStr">
        <is>
          <t>已完成</t>
        </is>
      </c>
      <c r="G46" s="13" t="inlineStr">
        <is>
          <t>通過</t>
        </is>
      </c>
      <c r="H46" s="13" t="inlineStr">
        <is>
          <t>2026-10-12</t>
        </is>
      </c>
      <c r="I46" s="6" t="inlineStr">
        <is>
          <t>上游遺留的「醫生」模式：user_info.user_type 設成 doctor 就會顯示醫療角色和不同的首頁，開通方式是一個寫死在程式碼裡、瀏覽器可以呼叫的通關碼檢查。</t>
        </is>
      </c>
      <c r="J46" s="6" t="inlineStr">
        <is>
          <t>frontend-nextjs/app/actions.ts:124
frontend-nextjs/app/components/Playground/PlaygroundComponent.tsx:40
frontend-nextjs/app/components/Settings/AppSettings.tsx:51
frontend-nextjs/app/components/Nav/LeftNavbarButtons.tsx:11
frontend-nextjs/app/components/HomePageSubtitles.tsx:13</t>
        </is>
      </c>
      <c r="K46" s="6" t="inlineStr">
        <is>
          <t>移除 checkDoctorAction 和所有 doctor 身份的分支；程式碼裡沒有任何通關碼；is_doctor 角色隱藏（配合 R-02）。</t>
        </is>
      </c>
      <c r="L46" s="6" t="inlineStr">
        <is>
          <t>① grep 找不到 checkDoctorAction，也找不到以 user_type 判斷 doctor 的程式碼
② 前端 tsc 與 lint 通過
③ 首頁、設定頁、角色列表正常</t>
        </is>
      </c>
      <c r="M46" s="13" t="n"/>
      <c r="N46" s="6" t="inlineStr">
        <is>
          <t>線上 2026-10-12：生產 commit bac24e9 git grep checkDoctorAction/kiwi-subtle-emu/=== "doctor"/isDoctor → 0；線上 13 個 JS（/、/login、/onboard）grep 通關碼/"doctor"/Santa/patient → 0；anon 讀角色只見 6 個 hk_ 角色、is_doctor 全 false；用戶今日線上登入及 playground 正常</t>
        </is>
      </c>
      <c r="O46" s="13" t="inlineStr">
        <is>
          <t>3897269</t>
        </is>
      </c>
      <c r="P46" s="6" t="inlineStr">
        <is>
          <t>[2026-09-30] 新增
[2026-10-07] 2026-10-07：P0-04 的 migration 讓 authenticated 仍可改 users.user_info，只因 Onboarding/AppSettings 還在那裡寫 doctor 身份；移除 doctor 後，同時從 GRANT UPDATE 拿掉 user_info。
[2026-10-07] 2026-10-07：專案沒有 ESLint 設定（next lint 會停在互動設定），以臨時 config 只檢查改動檔，正式 lint 屬 P2-02。migration 必須在新前端上線後才套用（舊前端每次保存都寫 user_info）。Santa Claus 原本也被標成 is_doctor，一起隱藏；需要時可在 admin 取消隱藏。保持進行中：隨下一批部署。</t>
        </is>
      </c>
    </row>
    <row r="47" ht="102" customHeight="1">
      <c r="A47" s="13" t="inlineStr">
        <is>
          <t>P1-09</t>
        </is>
      </c>
      <c r="B47" s="13" t="inlineStr">
        <is>
          <t>P1</t>
        </is>
      </c>
      <c r="C47" s="13" t="inlineStr">
        <is>
          <t>2 內測準備</t>
        </is>
      </c>
      <c r="D47" s="6" t="inlineStr">
        <is>
          <t>兒童安全</t>
        </is>
      </c>
      <c r="E47" s="6" t="inlineStr">
        <is>
          <t>家長鎖：孩子模式進設定要輸入 PIN</t>
        </is>
      </c>
      <c r="F47" s="13" t="inlineStr">
        <is>
          <t>阻塞</t>
        </is>
      </c>
      <c r="G47" s="13" t="inlineStr">
        <is>
          <t>未測試</t>
        </is>
      </c>
      <c r="H47" s="13" t="n"/>
      <c r="I47" s="6" t="inlineStr">
        <is>
          <t>/home 的 playground 是給孩子在家長手機上用的，但設定頁沒有任何阻擋：孩子能自己解綁設備、刪記憶、改家長控制。</t>
        </is>
      </c>
      <c r="J47" s="6" t="inlineStr">
        <is>
          <t>frontend-nextjs/app/home/（playground 與 settings）</t>
        </is>
      </c>
      <c r="K47" s="6" t="inlineStr">
        <is>
          <t>從孩子模式進入設定、家長控制、記憶、設備頁面前，都要先輸入家長 PIN（第一次使用時設定）；連錯 5 次鎖定 5 分鐘；忘記 PIN 可用帳號密碼重設。</t>
        </is>
      </c>
      <c r="L47" s="6" t="inlineStr">
        <is>
          <t>① 孩子模式下點設定，沒有 PIN 進不去
② 連錯 5 次後鎖定
③ 用帳號密碼重設 PIN 成功</t>
        </is>
      </c>
      <c r="M47" s="13" t="n"/>
      <c r="N47" s="6" t="n"/>
      <c r="O47" s="13" t="n"/>
      <c r="P47" s="6" t="inlineStr">
        <is>
          <t>[2026-09-30] 新增：這是防孩子誤觸，不是安全邊界；真正的權限仍在伺服器與資料庫。
[2026-10-13] 2026-10-13 用戶決定：AI Buddy（品牌 C）延到 1/15 之後，本項不卡 1/15 出廠；AI Buddy 啟動時再開。</t>
        </is>
      </c>
    </row>
    <row r="48" ht="242" customHeight="1">
      <c r="A48" s="13" t="inlineStr">
        <is>
          <t>P1-10</t>
        </is>
      </c>
      <c r="B48" s="13" t="inlineStr">
        <is>
          <t>P1</t>
        </is>
      </c>
      <c r="C48" s="13" t="inlineStr">
        <is>
          <t>2 內測準備</t>
        </is>
      </c>
      <c r="D48" s="6" t="inlineStr">
        <is>
          <t>安全-權限</t>
        </is>
      </c>
      <c r="E48" s="6" t="inlineStr">
        <is>
          <t>管理操作審計記錄</t>
        </is>
      </c>
      <c r="F48" s="13" t="inlineStr">
        <is>
          <t>進行中</t>
        </is>
      </c>
      <c r="G48" s="13" t="inlineStr">
        <is>
          <t>部分通過</t>
        </is>
      </c>
      <c r="H48" s="13" t="n"/>
      <c r="I48" s="6" t="inlineStr">
        <is>
          <t>管理員改模型、改角色、動設備都沒有記錄；出了問題查不到是誰、什麼時候、改了什麼。</t>
        </is>
      </c>
      <c r="J48" s="6" t="inlineStr">
        <is>
          <t>新表 admin_audit_log
frontend-nextjs/app/home/admin/actions.ts（之後搬到 /admin）</t>
        </is>
      </c>
      <c r="K48" s="6" t="inlineStr">
        <is>
          <t>每個管理操作寫一筆記錄：誰、什麼時間、什麼操作、對象、改之前與改之後的值；記錄只能新增，任何人（包括超級管理員）都不能修改或刪除；超級管理員能在管理端查看。</t>
        </is>
      </c>
      <c r="L48" s="6" t="inlineStr">
        <is>
          <t>① 改一個角色、改一次模型設定，審計表各出現一筆，前後值正確
② 用超級管理員 JWT 嘗試 UPDATE／DELETE 審計記錄被拒</t>
        </is>
      </c>
      <c r="M48" s="13" t="inlineStr">
        <is>
          <t>P0-12</t>
        </is>
      </c>
      <c r="N48" s="6" t="inlineStr">
        <is>
          <t>本機（分支 p1-10-p2-09-audit-usage，migration 已套用到本機 Supabase）：探測腳本 22/22，用 GoTrue 真實登入、只把 42501 當拒絕。① 超管改角色 short_description → 1 筆 update、before/after 只有該欄、actor=該管理員；改 voice_stack → 1 筆含新舊值；不改內容再存 → 0 筆 ② 超管 JWT UPDATE/DELETE → 42501；service role DELETE → 42501；postgres DELETE/TRUNCATE 被觸發器拒絕；內容管理員、家長讀 → []；anon → 42501。網頁實測：IP 加一個活動提示 → 只記 1 筆 ip_modes insert，原樣再存 → 0 筆，清除 → 1 筆 delete；Accounts 建帳號 → account.create（不含密碼）；改匯率 → 1 筆。未做：部署線上。</t>
        </is>
      </c>
      <c r="O48" s="13" t="inlineStr">
        <is>
          <t>8e3b2c5</t>
        </is>
      </c>
      <c r="P48" s="6" t="inlineStr">
        <is>
          <t>[2026-09-30] 新增
[2026-10-14] 2026-10-14：admin 改側欄後（P2-13），actions.ts 在 frontend-nextjs/app/admin/actions.ts；審計記錄頁的樣子在 preview/AuditPreview.tsx。建議第一個做：設備頁、客服頁、OTA、出廠的每個動作都要寫審計，先有這張表就不用回頭改。
[2026-10-14] 2026-10-14：已合併進 dev（rebase 後 commit 8e3b2c5，原 e438bab）。部署用 docs/deploy/release-2026-10-14-audit-usage.sh：先套兩個 migration，再換語音伺服器和網頁映像；第 5 步自動檢查，第 6 步在跟已綁定的玩具對話後確認用量行。</t>
        </is>
      </c>
    </row>
    <row r="49" ht="60" customHeight="1">
      <c r="A49" s="13" t="inlineStr">
        <is>
          <t>P1-11</t>
        </is>
      </c>
      <c r="B49" s="13" t="inlineStr">
        <is>
          <t>P1</t>
        </is>
      </c>
      <c r="C49" s="13" t="inlineStr">
        <is>
          <t>2 內測準備</t>
        </is>
      </c>
      <c r="D49" s="6" t="inlineStr">
        <is>
          <t>私隱</t>
        </is>
      </c>
      <c r="E49" s="6" t="inlineStr">
        <is>
          <t>伺服器與資料庫直接存取的管控</t>
        </is>
      </c>
      <c r="F49" s="13" t="inlineStr">
        <is>
          <t>未開始</t>
        </is>
      </c>
      <c r="G49" s="13" t="inlineStr">
        <is>
          <t>未測試</t>
        </is>
      </c>
      <c r="H49" s="13" t="n"/>
      <c r="I49" s="6" t="inlineStr">
        <is>
          <t>網頁管理端看不到兒童資料（Q7），但能 SSH 上伺服器或直連資料庫的人仍然看得到；目前沒有名單，也沒有規則。</t>
        </is>
      </c>
      <c r="J49" s="6" t="inlineStr">
        <is>
          <t>生產伺服器（elatoai.hkqft.com）
自架 Supabase</t>
        </is>
      </c>
      <c r="K49" s="6" t="inlineStr">
        <is>
          <t>列出誰有 SSH 與資料庫直連權限（越少越好）；service_role key 只存在伺服器的 env；私隱政策寫明這類存取的範圍；每次直接查看生產資料都留記錄。</t>
        </is>
      </c>
      <c r="L49" s="6" t="inlineStr">
        <is>
          <t>① 名單經你確認
② 私隱政策有對應段落（配合 P1-04）
③ 前端 bundle 與 repo 裡找不到 service_role key</t>
        </is>
      </c>
      <c r="M49" s="13" t="n"/>
      <c r="N49" s="6" t="n"/>
      <c r="O49" s="13" t="n"/>
      <c r="P49" s="6" t="inlineStr">
        <is>
          <t>[2026-09-30] 新增</t>
        </is>
      </c>
    </row>
    <row r="50" ht="214" customHeight="1">
      <c r="A50" s="13" t="inlineStr">
        <is>
          <t>R-13</t>
        </is>
      </c>
      <c r="B50" s="13" t="inlineStr">
        <is>
          <t>R</t>
        </is>
      </c>
      <c r="C50" s="13" t="inlineStr">
        <is>
          <t>2 內測準備</t>
        </is>
      </c>
      <c r="D50" s="6" t="inlineStr">
        <is>
          <t>決策</t>
        </is>
      </c>
      <c r="E50" s="6" t="inlineStr">
        <is>
          <t>CP1 內測就緒檢查（10/30）</t>
        </is>
      </c>
      <c r="F50" s="13" t="inlineStr">
        <is>
          <t>未開始</t>
        </is>
      </c>
      <c r="G50" s="13" t="inlineStr">
        <is>
          <t>未測試</t>
        </is>
      </c>
      <c r="I50" s="6" t="inlineStr">
        <is>
          <t>內測至少要 4 週才有可信數據；CP1 每遲一週，整條線就遲一週，用掉 12/26 到 1/15 之間約 3 週的緩衝。</t>
        </is>
      </c>
      <c r="J50" s="6" t="inlineStr">
        <is>
          <t>本追蹤表（R-07 的依賴）</t>
        </is>
      </c>
      <c r="K50" s="6" t="inlineStr">
        <is>
          <t>10/30 前，R-07 所列的全部依賴都已完成並測試通過；寫下 go／no-go 決定。未通過時記錄預計延遲幾週、用掉多少緩衝；延遲超過 1 週要說明如何追回。</t>
        </is>
      </c>
      <c r="L50" s="6" t="inlineStr">
        <is>
          <t>① tracker status：R-07 的依賴全部為已完成或不適用 ② go／no-go 決定經你確認</t>
        </is>
      </c>
      <c r="M50" s="13" t="inlineStr">
        <is>
          <t>P0-02, P0-03, P0-04, P0-05, P0-06, P0-07, P0-08, P0-09, P0-10, P0-11, P0-12, P0-13, P1-01, P1-02, P2-09, R-01, R-02, R-04, R-05, R-06, P0-15, P0-16, P1-11</t>
        </is>
      </c>
      <c r="P50" s="6" t="inlineStr">
        <is>
          <t>[2026-10-05] 新增：2026-10-05 定：兩個 checkpoint 為 10/30（CP1）與 11/27（CP2＝R-08）；硬底線是農曆新年（2027-02-06）前交付。
[2026-10-14] 2026-10-14 用戶決定：移除 P1-09（家長鎖）。品牌 C 已延到 1/15 之後，P1-09 阻塞，留在依賴裡 CP1 永遠過不了。</t>
        </is>
      </c>
    </row>
    <row r="51" ht="74" customHeight="1">
      <c r="A51" s="13" t="inlineStr">
        <is>
          <t>R-14</t>
        </is>
      </c>
      <c r="B51" s="13" t="inlineStr">
        <is>
          <t>R</t>
        </is>
      </c>
      <c r="C51" s="13" t="inlineStr">
        <is>
          <t>3 封閉內測</t>
        </is>
      </c>
      <c r="D51" s="6" t="inlineStr">
        <is>
          <t>內容</t>
        </is>
      </c>
      <c r="E51" s="6" t="inlineStr">
        <is>
          <t>離線兒歌與故事</t>
        </is>
      </c>
      <c r="F51" s="13" t="inlineStr">
        <is>
          <t>未開始</t>
        </is>
      </c>
      <c r="G51" s="13" t="inlineStr">
        <is>
          <t>未測試</t>
        </is>
      </c>
      <c r="I51" s="6" t="inlineStr">
        <is>
          <t>3–6 歲孩子很多時候只想聽歌、聽故事；放在裝置上播放零雲端成本、斷網也能用。風險：錄音與故事的版權（只用自製或已取得授權的內容）、Flash 容量、播放手勢不能和現有按鍵操作衝突。</t>
        </is>
      </c>
      <c r="J51" s="6" t="inlineStr">
        <is>
          <t>firmware-arduino/src（Audio.cpp、Chime.cpp 的本地播放路徑）
firmware-arduino/platformio.ini（分區表）
內容來源與授權記錄</t>
        </is>
      </c>
      <c r="K51" s="6" t="inlineStr">
        <is>
          <t>裝置上存有至少 10 首粵語兒歌和 5 個粵語故事；斷網也能播放；用一個不和現有操作衝突的按鍵手勢開始、停止、切換；音量鍵照常有效；每項內容都有來源與授權記錄（自製或已授權）。內測期間可經 OTA 加入內測機。</t>
        </is>
      </c>
      <c r="L51" s="6" t="inlineStr">
        <is>
          <t>① 關掉 Wi-Fi，用手勢逐一播放，全部內容可完整播完 ② 播放中停止、切換、調音量都即時生效 ③ 播放後照常可以按鍵對話 ④ 授權記錄表每項都有來源 ⑤ 內測期間記錄各家庭的播放次數</t>
        </is>
      </c>
      <c r="M51" s="13" t="inlineStr">
        <is>
          <t>R-01</t>
        </is>
      </c>
      <c r="P51" s="6" t="inlineStr">
        <is>
          <t>[2026-10-05] 新增：2026-10-05 決定：V1.0 只加這一項新功能；「家長每日摘要」移到 V1.1，不在本表範圍。</t>
        </is>
      </c>
    </row>
    <row r="52" ht="60" customHeight="1">
      <c r="A52" s="13" t="inlineStr">
        <is>
          <t>R-15</t>
        </is>
      </c>
      <c r="B52" s="13" t="inlineStr">
        <is>
          <t>R</t>
        </is>
      </c>
      <c r="C52" s="13" t="inlineStr">
        <is>
          <t>4 量產出貨</t>
        </is>
      </c>
      <c r="D52" s="6" t="inlineStr">
        <is>
          <t>交付</t>
        </is>
      </c>
      <c r="E52" s="6" t="inlineStr">
        <is>
          <t>農曆新年前交付（生產 1/15、送達 1/29）</t>
        </is>
      </c>
      <c r="F52" s="13" t="inlineStr">
        <is>
          <t>未開始</t>
        </is>
      </c>
      <c r="G52" s="13" t="inlineStr">
        <is>
          <t>未測試</t>
        </is>
      </c>
      <c r="I52" s="6" t="inlineStr">
        <is>
          <t>2027 年農曆新年是 2/6，內地工廠一般提前約兩週停工；1 月中生產未完成，就可能拖到 2 月底甚至 3 月，遲幾週會變成遲兩個月。</t>
        </is>
      </c>
      <c r="J52" s="6" t="inlineStr">
        <is>
          <t>R-08 決定的數量
R-09 量產外殼
R-10 出廠流程</t>
        </is>
      </c>
      <c r="K52" s="6" t="inlineStr">
        <is>
          <t>12/26 為內部目標；R-08 決定的全部數量最遲 1/15 生產完成，1/29 前全部送達家庭。1/15 未能全部完成時，先交付已完成的部分，其餘新年後補發，並通知相關家庭。</t>
        </is>
      </c>
      <c r="L52" s="6" t="inlineStr">
        <is>
          <t>① 生產記錄：完成日期 ≤ 1/15，數量等於 R-08 決定的數量 ② 送貨或簽收記錄：全部日期 ≤ 1/29</t>
        </is>
      </c>
      <c r="M52" s="13" t="inlineStr">
        <is>
          <t>R-09, R-10</t>
        </is>
      </c>
      <c r="P52" s="6" t="inlineStr">
        <is>
          <t>[2026-10-05] 新增
[2026-10-12] 2026-10-12：首批 A 馬會 2,500＋B 政協青年聯會版 500＝3,000 隻，C 未定。</t>
        </is>
      </c>
    </row>
    <row r="53" ht="409" customHeight="1">
      <c r="A53" s="13" t="inlineStr">
        <is>
          <t>R-16</t>
        </is>
      </c>
      <c r="B53" s="13" t="inlineStr">
        <is>
          <t>R</t>
        </is>
      </c>
      <c r="C53" s="13" t="inlineStr">
        <is>
          <t>1 止血定案</t>
        </is>
      </c>
      <c r="D53" s="6" t="inlineStr">
        <is>
          <t>硬件</t>
        </is>
      </c>
      <c r="E53" s="6" t="inlineStr">
        <is>
          <t>Spotpear 量產版加電池電壓檢測（GPIO0 分壓）</t>
        </is>
      </c>
      <c r="F53" s="13" t="inlineStr">
        <is>
          <t>未開始</t>
        </is>
      </c>
      <c r="G53" s="13" t="inlineStr">
        <is>
          <t>未測試</t>
        </is>
      </c>
      <c r="I53" s="6" t="inlineStr">
        <is>
          <t>Spotpear AI Toy 裝了電池但讀不到電量：C3 能做 ADC 的腳 GPIO0–5 全被佔用，原廠固件也沒有電量代碼。家長不知道何時要充電，評分表③無法通過。量產改板要趁早向廠家提。</t>
        </is>
      </c>
      <c r="J53" s="6" t="inlineStr">
        <is>
          <t>firmware-arduino/BOARDS.md（Battery sense for the production board）；firmware-arduino/src/Config.cpp；firmware-arduino/src/Battery.cpp</t>
        </is>
      </c>
      <c r="K53" s="6" t="inlineStr">
        <is>
          <t>Spotpear 書面確認量產版：GPIO1（屏幕 DC；本版不接屏幕，可空出來）接電芯正極（保護 IC 之後）100k/100k 分壓、100nF 濾波，屏幕不接該腳；GPIO0 保留給現有的 VDD 低電提醒；最好另把充電芯片 CHRG 接到 GPIO12 或 13。樣板到手後，固件讀到的電芯電壓與萬用表相差 ≤50mV，App（R-41）顯示百分比與充電中。</t>
        </is>
      </c>
      <c r="L53" s="6" t="inlineStr">
        <is>
          <t>① 取得 Spotpear 的書面確認或改板原理圖 ② 樣板上 3 個電壓點（約 3.5V、3.8V、4.1V）同時量萬用表與固件 log 的毫伏值，誤差都 ≤50mV ③ 插 USB 充電時讀數仍是電芯電壓，不是 5V</t>
        </is>
      </c>
      <c r="M53" s="13" t="n"/>
      <c r="P53" s="6" t="inlineStr">
        <is>
          <t>[2026-10-05] 新增
[2026-10-06] 2026-10-06：用戶表示不需要精確電量，快沒電時提醒即可，也無法自行焊接。改為軟件方案：讀芯片自身供電（GPIO0 內部上下拉分壓，SupplyMonitor.cpp），讀數跌破基準 95.5% 就亮紅燈並播廣東話提醒。已用強制低電量測試版驗證：提醒能播出、紅燈正常。本任務（硬件分壓）暫緩，等充滿再放電的實測：若提醒太遲或不觸發才向 Spotpear 提出。
[2026-10-07] 仍按 10/06 決定暫緩：等用戶做充滿再放電測試（與 R-17 同一次），看 VDD 低電提醒在關機前多久觸發；太遲或不觸發才向 Spotpear 提改板。已把分壓改板的問題一併放進給 Spotpear 的草稿，方便同一封發出
[2026-10-14] 2026-10-14：用戶決定 App 要顯示電量，恢復本任務（方案 B），與 R-41（方案 A：先顯示高低兩態）並行。改用 GPIO1：GPIO0 已被 SupplyMonitor 的 VDD 檢測佔用（標題仍寫 GPIO0，以驗收標準為準）。R-41 的上報協議已預留 percent / charging，改板後只需改固件的 Battery 設定。量產板訂單是關鍵路徑，要盡快向 Spotpear 提出。</t>
        </is>
      </c>
    </row>
    <row r="54" ht="382" customHeight="1">
      <c r="A54" s="13" t="inlineStr">
        <is>
          <t>R-17</t>
        </is>
      </c>
      <c r="B54" s="13" t="inlineStr">
        <is>
          <t>R</t>
        </is>
      </c>
      <c r="C54" s="13" t="inlineStr">
        <is>
          <t>1 止血定案</t>
        </is>
      </c>
      <c r="D54" s="6" t="inlineStr">
        <is>
          <t>硬件</t>
        </is>
      </c>
      <c r="E54" s="6" t="inlineStr">
        <is>
          <t>Spotpear 電池耗盡時插電能否正常開機（供電路徑）</t>
        </is>
      </c>
      <c r="F54" s="13" t="inlineStr">
        <is>
          <t>阻塞</t>
        </is>
      </c>
      <c r="G54" s="13" t="inlineStr">
        <is>
          <t>未測試</t>
        </is>
      </c>
      <c r="I54" s="6" t="inlineStr">
        <is>
          <t>裝著沒電的電池插 USB 時，芯片電壓只有純 USB 供電時的 98–99%，說明系統從電池端取電；電池耗盡時板子要等幾分鐘到半小時才出現在 USB 上，還有一次燒錄寫到一半掉電。家長給沒電的玩具插上充電，玩具卻沒有反應或反覆重啟，會以為壞了。</t>
        </is>
      </c>
      <c r="J54" s="6" t="inlineStr">
        <is>
          <t>firmware-arduino/BOARDS.md（Low-battery reminder without battery sense 的 Power path 一段）</t>
        </is>
      </c>
      <c r="K54" s="6" t="inlineStr">
        <is>
          <t>向 Spotpear 確認充電芯片型號、充電電流，以及有沒有負載分擔（power path）。電池完全耗盡後插上 USB，玩具在 2 分鐘內能正常開機並對話；不行的話，要有改板或固件緩解方案（例如掉電重啟後先深睡充電），並寫進說明書。</t>
        </is>
      </c>
      <c r="L54" s="6" t="inlineStr">
        <is>
          <t>① 取得 Spotpear 的充電電路說明 ② 把電池用到自動關機，插 USB 計時，看幾分鐘後開機並能對話；串口日誌確認沒有反覆 brownout 重啟 ③ 開機後插著用 30 分鐘，運行記錄讀數持續回升到 100%（證明邊用邊充）</t>
        </is>
      </c>
      <c r="M54" s="13" t="n"/>
      <c r="P54" s="6" t="inlineStr">
        <is>
          <t>[2026-10-06] 新增
[2026-10-07] 等兩件事：(1) Spotpear 回覆充電芯片型號、充電電流、有沒有 power path（問題已草擬給用戶發送）(2) 用戶做一次實物放電：拔 USB 用到自動關機 → 插 USB 計時到能對話 → 插住用 30 分鐘。與 R-16 的放電測試同一次完成。韌體現況：brownout 重啟會補播低電提醒，運行記錄（開機時 Supply log）會記每次重啟原因，可據此判斷有沒有反覆 brownout；『掉電後先深睡充電』的緩解要等測試證明需要才做
[2026-10-08] 2026-10-08 開發板 63:64 插著 USB 時兩次無法解釋的完全斷電重開：09:13:26（崩潰循環中）、10:44:33（閒置、用戶確認沒碰）。都是 USB 先斷線再以 ESP_RST_POWERON 開機，非 brownout；斷電前 6 秒 GPIO0 讀數 99.9% 參考值，屬突然切斷而非緩降（SupplyMonitor 取樣太疏抓不到瞬間）。韌體無法造成 POWERON，指向充電芯片/電池保護/供電路徑，應一併問 Spotpear；放電實測時留意插 USB 閒置時是否也會斷電</t>
        </is>
      </c>
    </row>
    <row r="55" ht="102" customHeight="1">
      <c r="A55" s="13" t="inlineStr">
        <is>
          <t>P0-17</t>
        </is>
      </c>
      <c r="B55" s="13" t="inlineStr">
        <is>
          <t>P0</t>
        </is>
      </c>
      <c r="C55" s="13" t="inlineStr">
        <is>
          <t>1 止血定案</t>
        </is>
      </c>
      <c r="D55" s="6" t="inlineStr">
        <is>
          <t>安全-設定</t>
        </is>
      </c>
      <c r="E55" s="6" t="inlineStr">
        <is>
          <t>前端的 anon key 必須是公開 key，不可是 secret／service_role</t>
        </is>
      </c>
      <c r="F55" s="13" t="inlineStr">
        <is>
          <t>已完成</t>
        </is>
      </c>
      <c r="G55" s="13" t="inlineStr">
        <is>
          <t>通過</t>
        </is>
      </c>
      <c r="H55" s="13" t="inlineStr">
        <is>
          <t>2026-10-12</t>
        </is>
      </c>
      <c r="I55" s="6" t="inlineStr">
        <is>
          <t>本機 frontend-nextjs/.env.local 的 NEXT_PUBLIC_SUPABASE_ANON_KEY 是 sb_secret_ 開頭的 secret key（等同 service_role）。NEXT_PUBLIC_ 變數會打包進瀏覽器 JS，若線上也這樣設定，任何人都能從網頁拿到可繞過所有 RLS 的 key，P0-02～P0-05 全部失效。線上 .env.production 尚未查證。</t>
        </is>
      </c>
      <c r="J55" s="6" t="inlineStr">
        <is>
          <t>frontend-nextjs/.env.local；線上 frontend-nextjs/.env.production（host aibuddy-dev）</t>
        </is>
      </c>
      <c r="K55" s="6" t="inlineStr">
        <is>
          <t>本機與線上的 NEXT_PUBLIC_SUPABASE_ANON_KEY 都是 sb_publishable_ 開頭或 role=anon 的 JWT；瀏覽器 JS bundle 裡沒有 sb_secret_，也沒有 role=service_role 的 JWT；若線上曾外洩 secret key，已輪換。</t>
        </is>
      </c>
      <c r="L55" s="6" t="inlineStr">
        <is>
          <t>① 抓線上首頁引用的 /_next/static JS，grep sb_secret_ 為 0；其中 eyJ 開頭的 key 解碼後 role=anon ② 用 bundle 裡的 key GET /rest/v1/users → 42501 或 0 行 ③ 本機 .env.local 同樣檢查</t>
        </is>
      </c>
      <c r="M55" s="13" t="n"/>
      <c r="N55" s="6" t="inlineStr">
        <is>
          <t>線上 2026-10-12（bac24e9）：/login 引用的 13 個 JS + HTML 無 sb_secret_，唯一 key 為 role=anon 的 JWT；② 用該 key GET /rest/v1/users → 42501；③ 本機 10/07 已換 publishable</t>
        </is>
      </c>
      <c r="P55" s="6" t="inlineStr">
        <is>
          <t>[2026-10-07] 新增
[2026-10-07] 2026-10-07：線上沒有外洩 secret key，無需輪換。② 要等 P0-02～P0-05 的 migration 在線上套用後再測。</t>
        </is>
      </c>
    </row>
    <row r="56" ht="172" customHeight="1">
      <c r="A56" s="13" t="inlineStr">
        <is>
          <t>P2-10</t>
        </is>
      </c>
      <c r="B56" s="13" t="inlineStr">
        <is>
          <t>P2</t>
        </is>
      </c>
      <c r="C56" s="13" t="inlineStr">
        <is>
          <t>1 止血定案</t>
        </is>
      </c>
      <c r="D56" s="6" t="inlineStr">
        <is>
          <t>工程</t>
        </is>
      </c>
      <c r="E56" s="6" t="inlineStr">
        <is>
          <t>DeepSeek v4 flash 經 OpenRouter 時固定可用的供應商</t>
        </is>
      </c>
      <c r="F56" s="13" t="inlineStr">
        <is>
          <t>進行中</t>
        </is>
      </c>
      <c r="G56" s="13" t="inlineStr">
        <is>
          <t>部分通過</t>
        </is>
      </c>
      <c r="I56" s="6" t="inlineStr">
        <is>
          <t>OpenRouter 按延遲自動挑供應商，2026-10-07 實測 DeepSeek v4 flash：DeepInfra 回傳字面 &lt;｜end▁of▁sentence｜&gt;（玩具會唸出來），Venice、Parasail 回空內容（該輪無聲）。線上若用 DeepSeek，孩子會隨機遇到。</t>
        </is>
      </c>
      <c r="J56" s="6" t="inlineStr">
        <is>
          <t>app_settings.voice_stack（provider_order、reasoning_effort）；server/fastapi/models/llm/openrouter.py</t>
        </is>
      </c>
      <c r="K56" s="6" t="inlineStr">
        <is>
          <t>線上用 DeepSeek 時，provider_order 只列實測正常的供應商（例如 StreamLake、SiliconFlow、GMICloud、Novita），並開 reasoning；或線上改用 gemma-4-26b。伺服器遇到空回應或特殊 token 時不把它送去 TTS。</t>
        </is>
      </c>
      <c r="L56" s="6" t="inlineStr">
        <is>
          <t>① 對 provider_order 裡每個供應商各發 20 次真實 session prompt（含開場白），0 次空內容、0 次 end▁of▁sentence ② 實機開 5 次對話，開場白都正常播出</t>
        </is>
      </c>
      <c r="M56" s="13" t="n"/>
      <c r="N56" s="6" t="inlineStr">
        <is>
          <t>① 16 家供應商各 20 次真實 session prompt（含開場白，串流，order=[x]+allow_fallbacks=false）：建議清單 azure/alibaba/novita/siliconflow/gmicloud 各 20/20，0 空內容 0 特殊 token，首字 p50 1.25/2.33/2.59/2.56/3.25s；只設 order 時 order=[deepinfra] 實際由 Relace 回應（回過 content=None）→ 已改為 allow_fallbacks=false。伺服器端 LLMOutputGuard：pytest 8 項（尾部/跨 chunk 拆開的 token、空回應記警告）全套 203 passed；真實 LLM 串流經 guard 6 角色 12/12 正常、無誤觸發。② 實機 5 次開場白未做</t>
        </is>
      </c>
      <c r="O56" s="13" t="inlineStr">
        <is>
          <t>58bc82b</t>
        </is>
      </c>
      <c r="P56" s="6" t="inlineStr">
        <is>
          <t>[2026-10-07] 新增
[2026-10-07] 2026-10-07 58bc82b（分支 p2-10-provider-pinning，未合併、未部署）。上線後在管理頁設 provider_order=azure,alibaba,novita,siliconflow,gmicloud（或繼續用 gemma）。Azure 20 次中 1 次把孩子叫成「小柔」（prompt 無此名），屬模型偶發，非供應商問題</t>
        </is>
      </c>
    </row>
    <row r="57" ht="186" customHeight="1">
      <c r="A57" s="13" t="inlineStr">
        <is>
          <t>P2-11</t>
        </is>
      </c>
      <c r="B57" s="13" t="inlineStr">
        <is>
          <t>P2</t>
        </is>
      </c>
      <c r="C57" s="13" t="inlineStr">
        <is>
          <t>2 內測準備</t>
        </is>
      </c>
      <c r="D57" s="6" t="inlineStr">
        <is>
          <t>工程</t>
        </is>
      </c>
      <c r="E57" s="6" t="inlineStr">
        <is>
          <t>C3 播放時 async_tcp 觸發任務看門狗重啟</t>
        </is>
      </c>
      <c r="F57" s="13" t="inlineStr">
        <is>
          <t>已完成</t>
        </is>
      </c>
      <c r="G57" s="13" t="inlineStr">
        <is>
          <t>通過</t>
        </is>
      </c>
      <c r="H57" s="13" t="inlineStr">
        <is>
          <t>2026-10-08</t>
        </is>
      </c>
      <c r="I57" s="6" t="inlineStr">
        <is>
          <t>AsyncTCP 在 ESP32 預設把 async_tcp task 加入 5 秒任務看門狗（CONFIG_ASYNC_TCP_USE_WDT=1）。C3 單核，播開場白時 Opus Decode 連續佔用 CPU，async_tcp 超過 5 秒輪不到 → abort 重啟。2026-10-08 開發板實測出現一次（播開場白第 5 秒）。孩子聽回覆時玩具會突然重啟；落在 OTA 試用期內時，好版本會被回滾並記為失敗</t>
        </is>
      </c>
      <c r="J57" s="6" t="inlineStr">
        <is>
          <t>firmware-arduino/platformio.ini（AsyncTCP 3.5.0）；src/Audio.cpp decodeTask 優先級與讓出</t>
        </is>
      </c>
      <c r="K57" s="6" t="inlineStr">
        <is>
          <t>排程器暫停期間不可呼叫會阻塞的寫入：只在環形緩衝區放得下最大解碼封包（120ms）時才做 CPU 抽樣；AsyncTCP 看門狗保持開啟以便抓到同類問題</t>
        </is>
      </c>
      <c r="L57" s="6" t="inlineStr">
        <is>
          <t>① Spotpear 開發板連續開機 30 次並播完開場白，串口 0 次 task_wdt / panic ② 20 輪實際對話，串口 0 次 task_wdt</t>
        </is>
      </c>
      <c r="M57" s="13" t="n"/>
      <c r="N57" s="6" t="inlineStr">
        <is>
          <t>① 1.3.4 連續重啟 30 次：開場白 30/30、task_wdt 0、panic 0（修正前 19 次 4 次）② 用戶實際對話 20 輪（10:44–10:50）：20 輪都有回應，3 次未完成皆為用戶插話打斷且隨即恢復，短按合併為單輪；task_wdt 0、panic 0；CPU 抽樣照常（每輪 9–13 個）</t>
        </is>
      </c>
      <c r="O57" s="13" t="inlineStr">
        <is>
          <t>8e8b449</t>
        </is>
      </c>
      <c r="P57" s="6" t="inlineStr">
        <is>
          <t>[2026-10-08] 新增
[2026-10-08] 2026-10-08 查明真正原因：不是 async_tcp 被搶 CPU。decodeTask 每輪在 vTaskSuspendAll() 下解碼一個封包量 CPU，解碼寫入已滿的播放環形緩衝區時 writeArray() 等空位，但排程器已停、揚聲器 task 無法消耗 → 卡死，看門狗報 async_tcp（唯一訂閱者）未回報。原驗收（關 AsyncTCP WDT / SoftAP 測試）按錯誤猜測寫，已改；關 WDT 只會把重啟變成永久卡住</t>
        </is>
      </c>
    </row>
    <row r="58" ht="102" customHeight="1">
      <c r="A58" s="13" t="inlineStr">
        <is>
          <t>R-18</t>
        </is>
      </c>
      <c r="B58" s="13" t="inlineStr">
        <is>
          <t>R</t>
        </is>
      </c>
      <c r="C58" s="13" t="inlineStr">
        <is>
          <t>2 內測準備</t>
        </is>
      </c>
      <c r="D58" s="6" t="inlineStr">
        <is>
          <t>體驗</t>
        </is>
      </c>
      <c r="E58" s="6" t="inlineStr">
        <is>
          <t>長按 BOOT 重新配網（開 AIBuddy-XXXX 熱點）</t>
        </is>
      </c>
      <c r="F58" s="13" t="inlineStr">
        <is>
          <t>未開始</t>
        </is>
      </c>
      <c r="G58" s="13" t="inlineStr">
        <is>
          <t>未測試</t>
        </is>
      </c>
      <c r="I58" s="6" t="inlineStr">
        <is>
          <t>Spotpear 只有 BOOT 一個鍵，韌體沒有重新配網的操作：舊 WiFi 仍在範圍內時，家長換路由器或改密碼後無法讓設備重新開熱點，只能用瀏覽器開 http://&lt;設備IP&gt;/wifi 或恢復出廠</t>
        </is>
      </c>
      <c r="J58" s="6" t="inlineStr">
        <is>
          <t>firmware-arduino/src/main.cpp（按鍵處理、setupWiFi）；src/WifiManager.cpp runSoftAP()</t>
        </is>
      </c>
      <c r="K58" s="6" t="inlineStr">
        <is>
          <t>長按 BOOT ≥5 秒：燈號提示、開出 AIBuddy-XXXX 熱點並保留已存 WiFi 直到新設定保存；短按行為不變；設備密鑰與綁定不受影響；隨 OTA 推出</t>
        </is>
      </c>
      <c r="L58" s="6" t="inlineStr">
        <is>
          <t>Spotpear 實機：已連 WiFi 時長按 5 秒 → 手機見到 AIBuddy-XXXX → 配新 WiFi → 連上並能對話；長按 3 秒不觸發；配網中途放棄 → 120 秒後回到舊 WiFi；雲端 token 照常（不需重新綁定）</t>
        </is>
      </c>
      <c r="M58" s="13" t="inlineStr">
        <is>
          <t>R-01</t>
        </is>
      </c>
      <c r="P58" s="6" t="inlineStr">
        <is>
          <t>[2026-10-09] 新增
[2026-10-12] 2026-10-12：配網改用藍牙（R-21），長按 BOOT 改為開啟藍牙配網，不再開 AIBuddy-XXXX 熱點；熱點只保留給開發和運維。驗收標準待 R-21 的韌體方案定了再改。</t>
        </is>
      </c>
    </row>
    <row r="59" ht="354" customHeight="1">
      <c r="A59" s="13" t="inlineStr">
        <is>
          <t>P2-12</t>
        </is>
      </c>
      <c r="B59" s="13" t="inlineStr">
        <is>
          <t>P2</t>
        </is>
      </c>
      <c r="C59" s="13" t="inlineStr">
        <is>
          <t>3 封閉內測</t>
        </is>
      </c>
      <c r="D59" s="6" t="inlineStr">
        <is>
          <t>韌體</t>
        </is>
      </c>
      <c r="E59" s="6" t="inlineStr">
        <is>
          <t>量產燒錄前加大 app 分區</t>
        </is>
      </c>
      <c r="F59" s="13" t="inlineStr">
        <is>
          <t>進行中</t>
        </is>
      </c>
      <c r="G59" s="13" t="inlineStr">
        <is>
          <t>部分通過</t>
        </is>
      </c>
      <c r="I59" s="6" t="inlineStr">
        <is>
          <t>app0/app1 各 2MB，1.0.1 已用 1.66MB（約 79%，剩約 400KB）；分區表 OTA 改不了，韌體超過 2MB 後所有已出貨設備無法再 OTA。板上有 16MB flash，現分區只用約 7MB</t>
        </is>
      </c>
      <c r="J59" s="6" t="inlineStr">
        <is>
          <t>firmware-arduino/partition.csv；R-10 出廠腳本</t>
        </is>
      </c>
      <c r="K59" s="6" t="inlineStr">
        <is>
          <t>新分區表（例如 app0/app1 各 4MB，保留 nvs/otadata 位置）在出廠前定案並寫入出廠腳本；OTA 與回滾在新分區表上照常</t>
        </is>
      </c>
      <c r="L59" s="6" t="inlineStr">
        <is>
          <t>用新分區表 USB 燒 Spotpear → 雲端 OTA 一次並確認 → 推崩潰版確認回滾；pio 全 env 編譯通過；release_firmware.py 發佈的映像大小 &lt; 新分區</t>
        </is>
      </c>
      <c r="M59" s="13" t="n"/>
      <c r="N59" s="6" t="inlineStr">
        <is>
          <t>62:70（spotpear-ai-toy-p212 原型，現已併入 spotpear-ai-toy）：① 本機 OTA 1.6.1→1.6.2 寫入新 app1，120s 後 confirmed ② 3 秒 abort 的 1.6.3 → PANIC → 回到 1.6.2，ota_failed_version=1.6.3 ③ 崩潰寫入 coredump 14.8KB ④ 資源分區 9 個聲音 504KB/2MB，開機 CRC 63ms，OTA 後照常；損壞/清空 → 退回內建聲音無崩潰 ⑤ pio 全部 18 個 env 編譯通過，映像都在各自 app 槽內（Spotpear 4 個 1.59–1.60MB / 4MB；其他板仍 2MB 槽）；R-21 藍牙探針版 2,326,128 bytes &lt; 4MB ⑥ release_firmware.py 映像 &gt; app 槽即拒發。未做：雲端 OTA 一次（等上 UAT）、出廠腳本寫入資源包（R-10）</t>
        </is>
      </c>
      <c r="O59" s="13" t="inlineStr">
        <is>
          <t>5e9ffce</t>
        </is>
      </c>
      <c r="P59" s="6" t="inlineStr">
        <is>
          <t>[2026-10-09] 新增
[2026-10-12] 2026-10-12：藍牙配網（R-21）會令韌體大約多 300KB，2MB 分區不夠。新分區表要按 app 各 4MB 定，並在 11/13 凍結前把藍牙版本編譯一次確認大小。
[2026-10-14] 2026-10-14：用戶要求把配網提示音放進韌體；7 句 16kHz PCM 約 420KB，編進 app 後映像 2,147,728 bytes 超過 2MB 槽，板子在 bootloader 循環重啟（pio 仍報 Flash 99% SUCCESS）。按路線圖改放品牌資源分區。分區表待用戶確認後才算定案。
[2026-10-14] 2026-10-14 用戶定案 partition_16m.csv：nvs 0x9000/20K、otadata 0xe000/8K（不變）、app0 0x10000/4MB、app1 0x410000/4MB、assets 0x810000/2MB（品牌聲音）、nvs_keys 0xa10000/4K（P0-14）、coredump 0xa20000/64K、media 0xa30000/5.8MB（R-14）。spotpear-ai-toy 全部 env 改用此表；R-21 藍牙探針版映像 2,326,128 bytes，在 4MB 槽內。</t>
        </is>
      </c>
    </row>
    <row r="60" ht="74" customHeight="1">
      <c r="A60" s="13" t="inlineStr">
        <is>
          <t>R-19</t>
        </is>
      </c>
      <c r="B60" s="13" t="inlineStr">
        <is>
          <t>R</t>
        </is>
      </c>
      <c r="C60" s="13" t="inlineStr">
        <is>
          <t>2 內測準備</t>
        </is>
      </c>
      <c r="D60" s="6" t="inlineStr">
        <is>
          <t>硬件</t>
        </is>
      </c>
      <c r="E60" s="6" t="inlineStr">
        <is>
          <t>外接按鈕：量產板加 I2C 擴展晶片（TCA9555）</t>
        </is>
      </c>
      <c r="F60" s="13" t="inlineStr">
        <is>
          <t>未開始</t>
        </is>
      </c>
      <c r="G60" s="13" t="inlineStr">
        <is>
          <t>未測試</t>
        </is>
      </c>
      <c r="I60" s="6" t="inlineStr">
        <is>
          <t>後續要外接按鈕，但 Spotpear C3 已無空閒 GPIO（0 電壓檢測、1/20/21 屏幕、2 LED、3/4 I2C、5–8/10 I2S、9 BOOT、11 功放）；硬件出貨後 OTA 補不了，GPIO2/8/9 為開機模式腳不宜接按鈕。用戶不焊接，需 Spotpear 改板</t>
        </is>
      </c>
      <c r="J60" s="6" t="inlineStr">
        <is>
          <t>Spotpear 改板（與 R-16 同一封詢問）；firmware-arduino/src/IoExpander.*、BoardConfig.h（Waveshare 已有 TCA9555 讀鍵程式）</t>
        </is>
      </c>
      <c r="K60" s="6" t="inlineStr">
        <is>
          <t>確定按鈕數量與用途；Spotpear 量產版在 I2C（SDA3/SCL4）加 TCA9555 與按鈕接口並給出報價交期；韌體在 Spotpear 上經擴展晶片讀鍵，按鍵功能之後可經 OTA 調整</t>
        </is>
      </c>
      <c r="L60" s="6" t="inlineStr">
        <is>
          <t>樣板：I2C 掃描見 0x18 與擴展晶片地址；每個按鈕短按/長按都在 log 出現且觸發對應功能；按住任一按鈕上電仍正常開機；連續對話 30 分鐘音訊無雜音</t>
        </is>
      </c>
      <c r="M60" s="13" t="inlineStr">
        <is>
          <t>R-01</t>
        </is>
      </c>
      <c r="P60" s="6" t="inlineStr">
        <is>
          <t>[2026-10-09] 新增</t>
        </is>
      </c>
    </row>
    <row r="61" ht="409" customHeight="1">
      <c r="A61" s="13" t="inlineStr">
        <is>
          <t>P1-12</t>
        </is>
      </c>
      <c r="B61" s="13" t="inlineStr">
        <is>
          <t>P1</t>
        </is>
      </c>
      <c r="C61" s="13" t="inlineStr">
        <is>
          <t>2 內測準備</t>
        </is>
      </c>
      <c r="D61" s="6" t="inlineStr">
        <is>
          <t>私隱</t>
        </is>
      </c>
      <c r="E61" s="6" t="inlineStr">
        <is>
          <t>設備解綁時的記憶處理：確認、預設保留、可選清除</t>
        </is>
      </c>
      <c r="F61" s="13" t="inlineStr">
        <is>
          <t>進行中</t>
        </is>
      </c>
      <c r="G61" s="13" t="inlineStr">
        <is>
          <t>部分通過</t>
        </is>
      </c>
      <c r="I61" s="6" t="inlineStr">
        <is>
          <t>解綁一按即生效，沒有確認；記憶在解綁時怎麼處理也沒有定義。家長排除故障時重綁可能誤刪孩子的記憶，想刪時又刪不乾淨（設定頁「清除全部」只刪 memory_facts／memory_segments，conversations 原始對話仍在）。</t>
        </is>
      </c>
      <c r="J61" s="6" t="inlineStr">
        <is>
          <t>frontend-nextjs/app/components/Settings/AppSettings.tsx（handleUnbind）、app/actions.ts（unbindDeviceAction）、db/devices.ts（unbindDevice）、Settings/MemorySection.tsx 與 db/memories.ts（清除全部）、server/fastapi/memory/session.py（session 結束時的 consolidation）</t>
        </is>
      </c>
      <c r="K61" s="6" t="inlineStr">
        <is>
          <t>① 按「解綁」先彈出確認對話框，取消則什麼都不改。② 對話框預設保留記憶；「同時清除記憶」要主動勾選，並寫明無法復原。③ 記憶跟設備：鍵是 (user_id, device_id, ip_key)。同一帳號的每台設備各自一份記憶；保留時，同帳號重綁同一台會接著用；換新設備從空白開始（搬記憶交給 R-11）。④ 清除在伺服器端一個交易完成：先刪該設備的 memory_facts、memory_segments、conversations（連帳號的舊 memories），再解綁；任何一步失敗就不解綁，並顯示錯誤。⑤ 其他帳號認領同一台設備，看不到舊記憶（靠 user_id 隔離，不靠刪除成功）。⑥ 設定頁按設備顯示記憶；「清除全部」只清所選設備，連 conversations 一起刪。⑦ 對話中清除，之後的寫入和 consolidation 不會把記憶寫回（devices.memories_revision + trigger）。⑧ 未認領的設備不能對話：/ws/esp32 查到設備沒有 user_id 就在 auth 前以 4401 關閉，即使 24 小時 token 未過期；韌體重新取 token 拿到 202，回到配對狀態。⑨ 解綁時立即中斷該設備正在進行的語音 session。⑩ 網頁語音（playground）沒有設備，不讀也不寫記憶。</t>
        </is>
      </c>
      <c r="L61" s="6" t="inlineStr">
        <is>
          <t>TC1 取消：點解綁 → 對話框 → 取消 → devices.user_id 不變。
TC2 預設保留：記下該設備 memory_facts／memory_segments／conversations 行數 → 不勾清除並解綁 → 行數不變。
TC3 同機重綁：接 TC2，A 重新認領同一台 → 開始對話時 log『Loaded N fact(s)』的 N 等於解綁前；問玩具解綁前講過的事（例如寵物名），能答對。
TC4 換機／多設備：A 認領第二台設備 → 第二台開始對話時是空白（starts cold），第一台的記憶不受影響；設定頁可切換兩台，各自顯示自己的記憶。
TC5 轉讓隔離：A 解綁（保留）→ B 認領同一台 → B 的 session 載入 0 facts；用 B 的登入 token 查三張表拿不到 A 的行；A 的行仍在。
TC6 勾選清除：A 勾選清除並解綁 → 該設備四張表都是 0 行；重綁後開始對話是空白。
TC7 清除失敗不解綁：讓刪除報錯（例如暫時撤銷 service_role 對 conversations 的 DELETE）→ 介面顯示錯誤，devices.user_id 和 memories_revision 不變，記憶行數不變。
TC8 設定頁清除全部：按「Clear all」→ 所選設備的四張表都是 0 行，代數遞增，設備仍綁定。
TC9 越權：B 呼叫 unbind_device／clear_device_memory 對 A 的設備 → 回傳 NULL／報錯；A 的設備和記憶不受影響；anon、authenticated 沒有 EXECUTE 權限。
TC10 對話中清除：玩具對話中勾選清除並解綁 → 對話被中斷 → 等 consolidation 跑完仍是 0 行；用 store 以舊代數寫入三張表 → 全部被資料庫拒絕（HTTP 400 P0001）。
TC11 回歸：pytest server/fastapi/tests 全過；正常對話記憶照常寫入和載入。
TC12 解綁後不重開機不能對話：設備手上有未過期的 token → 解綁 → 再連 /ws/esp32 → auth 前被 4401 拒絕；真機：串口顯示重新取 token 得到 202，回到配對狀態。
TC13 對話中解綁立即中斷：對話中解綁（保留）→ 數秒內 websocket 被關閉（4001），記憶行數不變。
TC14 網頁語音不開記憶：記下該帳號 memory_facts／memory_segments／conversations／turn_metrics 行數 → 在 playground 對話兩輪 → turn_metrics 有新行（證明真的對話了），三張記憶表行數不變；伺服器 log 有 NextJS websocket connected，沒有建立記憶 session（/ws/nextjs 直接傳 memory=None，所以不會印 running without memory）。</t>
        </is>
      </c>
      <c r="M61" s="13" t="n"/>
      <c r="N61" s="6" t="inlineStr">
        <is>
          <t>本機（開發板 DEV636 身份的模擬裝置 + 網頁）：TC1/2/5/6/7/8/10/11/13 通過；TC3 重綁後 log『Loaded 2 fact(s)』；TC4 第二台 starts cold、設定頁可切換；TC9 DB 層 B 解綁回 NULL、清除報錯，anon/authenticated 無 EXECUTE；TC10 舊代數寫入三表皆 HTTP 400、清除後 40 秒仍 0 行；TC12 伺服器端 4401 通過；pytest 214 passed。TC14（2026-10-12，rebase 到 main 後的 p1-12-rebased 8d4b9e2，本機 7861）：/ws/nextjs 以網頁 token 對話兩輪，波波熊有回應 → turn_metrics 0→3，memory_facts／memory_segments／conversations 皆 0→0；log 只有 NextJS websocket connected。真機 62:70（2026-10-12，localall 測試版 → 本機 7861/3014，p1-12-rebased）：按住 BOOT 對話 6 輪，conversations 記下『我隻狗叫豆豆…』；TC12：介面解綁（不勾清除）→ 16:06:51 即斷線，之後每次重連都在 auth 前被拒（device token refused），16:07:02 重新取 token 得 202 並顯示配對碼 UKDM7N；facts 1→1、conversations 14→14、segments 1→2（結束時的摘要）、revision 0。TC3：同帳號重綁 → log『Loaded 1 fact(s)』（有一隻3歲嘅狗叫豆豆）＋2 段摘要；真機問『我隻狗叫咩名』的回答未記錄（用戶決定直接部署）。發現：韌體拿到 202 後 websocket 仍每秒重連一次直到被認領，沒有真正停在配對狀態（不屬 P1-12 伺服器端，另開任務）。</t>
        </is>
      </c>
      <c r="O61" s="13" t="inlineStr">
        <is>
          <t>8db9d9c</t>
        </is>
      </c>
      <c r="P61" s="6" t="inlineStr">
        <is>
          <t>[2026-10-09] 新增：決定（2026-10-09）：記憶跟帳號，不跟 device_id。目前一個帳號只有一個孩子、一台設備，user_id 就是孩子；以後支援一個家長多個孩子時，再加 child_profiles，devices.child_id 指向孩子，記憶鍵改 (child_id, ip_key)，一對一回填。解綁時保留下來的記憶，由 P1-03 的保留期限兜底清理。
[2026-10-09] 補充 ⑧⑨ 和 TC12、TC13（2026-10-09）：現在 /ws/esp32 只驗 token 簽名，不查是否已認領；token 存在玩具 RAM 裡 24 小時不會重新檢查，所以解綁後不重開機仍能以預設角色、無記憶對話。要改 server/fastapi/server.py（/ws/esp32 與解綁時斷線）和 unbindDeviceAction（通知語音伺服器）。本機開發模式（NEXT_PUBLIC_SKIP_DEVICE_REGISTRATION=True）允許未認領設備對話，⑧ 要對這個模式保留同樣的例外。
[2026-10-09] 決定改變（2026-10-09 晚）：用戶決定記憶跟設備，不跟帳號（一個帳號可綁多台，多數是一個孩子一台）。網頁語音不開記憶；舊資料歸到帳號最早認領的設備。分支 p1-12-unbind-memory（建在 multi-device-binding 9c8e106 上），commit 8bb9fb8 + 98faef9，未 push、未部署。
[2026-10-12] 2026-10-12：p1-12-unbind-memory rebase 到 main（0eaa1bf，含多設備與註冊），新分支 p1-12-rebased，worktree ~/project/aibuddy-p112；pytest 214 passed、tsc 通過。TC14 的測試方法改成看 turn_metrics 與三張表，因為 /ws/nextjs 直接傳 memory=None，不會印 running without memory。
[2026-10-12] 2026-10-12：用戶決定不再補測，直接部署。發布分支 p1-12-rebased（main 0eaa1bf ＋ zh-HK 默認 90b6b8a ＋ P1-12 三個 commit ＋ runbook 8db9d9c），runbook docs/deploy/release-2026-10-12-p1-12.sh（取代 multi-device 那份）。
[2026-10-12] 2026-10-12：已部署到生產（8db9d9c，release-2026-10-12-p1-12.sh 第 7 步 19 項自動檢查全過：users.device_id 已刪、三表 device_id/memories_revision 與 trigger、unbind_device/clear_device_memory 只有 service_role 可呼叫、網頁→語音伺服器 /internal 200）。回填：生產 conversations 670/670 掛到設備，memory_facts 0。真機問答（TC3 最後一步）仍待在生產上補問一次。</t>
        </is>
      </c>
    </row>
    <row r="62" ht="74" customHeight="1">
      <c r="A62" s="13" t="inlineStr">
        <is>
          <t>R-20</t>
        </is>
      </c>
      <c r="B62" s="13" t="inlineStr">
        <is>
          <t>R</t>
        </is>
      </c>
      <c r="C62" s="13" t="inlineStr">
        <is>
          <t>2 內測準備</t>
        </is>
      </c>
      <c r="D62" s="6" t="inlineStr">
        <is>
          <t>產品</t>
        </is>
      </c>
      <c r="E62" s="6" t="inlineStr">
        <is>
          <t>孩子資料與角色改成每台設備一份</t>
        </is>
      </c>
      <c r="F62" s="13" t="inlineStr">
        <is>
          <t>未開始</t>
        </is>
      </c>
      <c r="G62" s="13" t="inlineStr">
        <is>
          <t>未測試</t>
        </is>
      </c>
      <c r="I62" s="6" t="inlineStr">
        <is>
          <t>記憶已改成每台設備一份（P1-12），但孩子的名字、年齡、性格，以及角色，仍是每個帳號一份（users.supervisee_*、users.personality_id）。兄弟姊妹各一隻玩具時，其中一隻會叫錯名字、用錯年齡。</t>
        </is>
      </c>
      <c r="J62" s="6" t="inlineStr">
        <is>
          <t>users.supervisee_name／supervisee_age／supervisee_persona／personality_id、server/fastapi/device_registry.py（_ACCOUNT_SELECT）、frontend-nextjs 設定頁的 My Info 與角色選擇</t>
        </is>
      </c>
      <c r="K62" s="6" t="inlineStr">
        <is>
          <t>每台設備可以設定自己的孩子名字、年齡、性格和角色；沒設定時沿用帳號的預設值。語音伺服器按設備讀取。設定頁每台設備各自編輯。</t>
        </is>
      </c>
      <c r="L62" s="6" t="inlineStr">
        <is>
          <t>① 帳號綁兩台設備，分別設孩子 A／B → 兩台開場時分別叫 A 和 B。② 只設一台時，另一台沿用帳號預設。③ 換角色只影響所選設備。</t>
        </is>
      </c>
      <c r="M62" s="13" t="inlineStr">
        <is>
          <t>P1-12</t>
        </is>
      </c>
      <c r="P62" s="6" t="inlineStr">
        <is>
          <t>[2026-10-09] 新增：2026-10-09 實作 P1-12 時發現；beta 家庭若有兄弟姊妹各一隻，要在 R-07 前完成。</t>
        </is>
      </c>
    </row>
    <row r="63" ht="409" customHeight="1">
      <c r="A63" s="13" t="inlineStr">
        <is>
          <t>R-21</t>
        </is>
      </c>
      <c r="B63" s="13" t="inlineStr">
        <is>
          <t>R</t>
        </is>
      </c>
      <c r="C63" s="13" t="inlineStr">
        <is>
          <t>2 內測準備</t>
        </is>
      </c>
      <c r="D63" s="6" t="inlineStr">
        <is>
          <t>體驗</t>
        </is>
      </c>
      <c r="E63" s="6" t="inlineStr">
        <is>
          <t>藍牙配網與綁定（取代熱點配網）</t>
        </is>
      </c>
      <c r="F63" s="13" t="inlineStr">
        <is>
          <t>進行中</t>
        </is>
      </c>
      <c r="G63" s="13" t="inlineStr">
        <is>
          <t>未測試</t>
        </is>
      </c>
      <c r="I63" s="6" t="inlineStr">
        <is>
          <t>現在配網要手機連 AIBuddy-XXXX 熱點、開 192.168.4.1 網頁，家長體驗差，也不能在 App 裡完成綁定。用戶 2026-10-12 決定改為：App 用藍牙找到設備 → 在 App 裡選 Wi-Fi、填密碼 → 同時綁定；解綁也在 App 裡做。WebView（iOS WKWebView、Android WebView）都不支援 Web Bluetooth，所以藍牙要由原生殼做，網頁經橋接調用。C3 沒有 PSRAM，藍牙協定棧佔約 50–70KB RAM，不能和語音同時開；韌體也會大約 300KB，app 分區已用 79%（P2-12）。</t>
        </is>
      </c>
      <c r="J63" s="6" t="inlineStr">
        <is>
          <t>firmware-arduino/src/WifiManager.cpp（配網）、main.cpp（按鍵、開機流程）；frontend-nextjs 綁定頁；原生殼橋接清單（同事）；partition.csv</t>
        </is>
      </c>
      <c r="K63" s="6" t="inlineStr">
        <is>
          <t>① 設備在「未配網、Wi-Fi 連不上、未綁定、長按 BOOT」時以 AIBuddy-XXXX 名稱廣播藍牙，廣播資料帶品牌，品牌 App 只列出自己品牌的設備。② 設備經藍牙回傳它掃描到的 2.4GHz Wi-Fi 清單，App 讓用戶選擇並填密碼。③ App 經藍牙把 SSID、密碼和綁定票（P0-11）一起交給設備；藍牙通道加密（ESP 標準配網協定 security 1/2 或同等）。④ 設備連上 Wi-Fi 後自己完成認領，App 顯示綁定成功或失敗原因（密碼錯、設備已有主人、票過期）。⑤ 配網期間不啟動音訊；完成後釋放藍牙記憶體再開語音（必要時重開機），對話中最低 heap 不比現在差。⑥ 解綁在 App 內完成（P1-12），解綁後設備進入藍牙待綁定狀態。⑦ SoftAP 熱點配網保留給開發和運維（隱藏觸發方式或編譯開關），量產用戶流程不出現。</t>
        </is>
      </c>
      <c r="L63" s="6" t="inlineStr">
        <is>
          <t>① Spotpear 實機：iPhone 和 Android 各一部，用 App 從開箱到能對話，不用離開 App、不用手動輸入任何碼 ② 輸錯 Wi-Fi 密碼 → App 顯示錯誤並可重試 ③ 已綁定的設備長按 BOOT 改 Wi-Fi → 綁定不變 ④ 別的帳號在旁邊掃到已綁定的設備 → 不能綁走 ⑤ 解綁後另一帳號可經藍牙綁定 ⑥ 對話 10 分鐘的最低 heap 與改動前對比 ⑦ SoftAP 開發入口仍能配網</t>
        </is>
      </c>
      <c r="M63" s="13" t="inlineStr">
        <is>
          <t>P0-11, P2-12</t>
        </is>
      </c>
      <c r="P63" s="6" t="inlineStr">
        <is>
          <t>[2026-10-12] 新增：2026-10-12 用戶決定。綁定的持有證明由「在藍牙範圍內」提供，取代上一版的熱點綁定碼。橋接清單要改：原生配網由 NEHotspotConfiguration／WifiNetworkSpecifier 改為藍牙（例如 Capacitor BLE 插件或 Espressif 的 ESP Provisioning iOS/Android 庫）。iOS 要 NSBluetoothAlwaysUsageDescription。純瀏覽器只有桌面和 Android 的 Chrome 有 Web Bluetooth，iPhone Safari 沒有，所以網頁版不能配網。
[2026-10-12] 2026-10-12（路線圖）：用戶第一次設定時設備還沒有 Wi-Fi，藍牙配網不能經 OTA 補上，所以必須包含在 11/27 交 Spotpear 量產燒錄的共用出廠韌體裡；藍牙佔用的分區大小要在 11/13 分區表凍結（P2-12）前確定。趕不上的話，量產機只能用 SoftAP 熱點配網，或在玩具廠工位經工廠 Wi-Fi 做一次 OTA。
[2026-10-13] 2026-10-13 量度（分支 r-21-ble-provisioning，測試版 spotpear-ai-toy-bleprobe，Espressif wifi_provisioning BLE + security 1）：韌體 1,585,162 → 2,254,868 bytes（+670KB，超出 2MB app 分區，P2-12 必須改 4MB，partition_4m.csv 已編譯通過）；靜態 RAM 57,0→78,1KB（+21KB）。62:70 實機：開 WiFi STA 後 heap 153.8KB，藍牙廣播中 89.2KB（最大塊 69.6KB）。仍未量：藍牙開著時連 WiFi + HTTPS 的最低 heap（決定綁定結果經藍牙回傳還是由 App 查伺服器）。協定選 Espressif 標準，Neo 可用官方 ESP Provisioning iOS/Android 庫，綁定票走自訂 endpoint。
[2026-10-13] 更正上一條：靜態 RAM 56,988 → 78,092 bytes（+21KB）。</t>
        </is>
      </c>
    </row>
    <row r="64" ht="130" customHeight="1">
      <c r="A64" s="13" t="inlineStr">
        <is>
          <t>R-22</t>
        </is>
      </c>
      <c r="B64" s="13" t="inlineStr">
        <is>
          <t>R</t>
        </is>
      </c>
      <c r="C64" s="13" t="inlineStr">
        <is>
          <t>2 內測準備</t>
        </is>
      </c>
      <c r="D64" s="6" t="inlineStr">
        <is>
          <t>多品牌</t>
        </is>
      </c>
      <c r="E64" s="6" t="inlineStr">
        <is>
          <t>多品牌資料模型：brands 表與設備的品牌</t>
        </is>
      </c>
      <c r="F64" s="13" t="inlineStr">
        <is>
          <t>不適用</t>
        </is>
      </c>
      <c r="G64" s="13" t="inlineStr">
        <is>
          <t>未測試</t>
        </is>
      </c>
      <c r="I64" s="6" t="inlineStr">
        <is>
          <t>三個品牌（馬會快活、政協青年聯會版、AI Buddy）共用一套平台，但資料庫和語音伺服器沒有「品牌」的概念：設備不知道自己屬於哪個客戶，安全規則、語言、資料保留期都不能按客戶設定。</t>
        </is>
      </c>
      <c r="J64" s="6" t="inlineStr">
        <is>
          <t>supabase/migrations（新 migration）；devices 表；server/fastapi/device_registry.py（_ACCOUNT_SELECT）；server/fastapi/language_profiles.py；ips 表（20261007120000_add_ips_modes_styles.sql）；R-10 出廠工位寫入品牌</t>
        </is>
      </c>
      <c r="K64" s="6" t="inlineStr">
        <is>
          <t>① 新增 brands 表：品牌代號、名稱、允許的 IP、允許的語言、安全規則類型（兒童／成人）、資料保留天數、私隱政策網址、客服聯絡、App 網址；三筆資料：馬會快活、政協青年聯會版、AI Buddy ② devices.brand_key 必填，現有設備回填為 AI Buddy ③ 語音伺服器開 session 時按設備的品牌載入安全規則類型和語言；設備沒有品牌或品牌不存在時以 4401 關閉 ④ anon／authenticated 只能讀 brands 的公開欄位，只有超級管理員能改</t>
        </is>
      </c>
      <c r="L64" s="6" t="inlineStr">
        <is>
          <t>① 本機 DB 用 BEGIN/ROLLBACK 套 migration：現有設備全部回填，brand_key 沒有 NULL ② pytest：三個品牌各一台模擬設備，log 顯示載入的品牌和規則類型；把設備 brand_key 改成不存在的值 → 4401 ③ authenticated 寫 brands → 42501；內容管理員寫 brands → 拒絕</t>
        </is>
      </c>
      <c r="M64" s="13" t="n"/>
      <c r="P64" s="6" t="inlineStr">
        <is>
          <t>[2026-10-12] 新增
[2026-10-12] 2026-10-12 用戶決定三個品牌各自一套獨立部署（資料庫、網頁、語音伺服器都分開，先放同一台伺服器），不再在一個資料庫裡用 brands 表區分品牌。品牌設定改為每套部署的環境變數和品牌包，併入 R-34。</t>
        </is>
      </c>
    </row>
    <row r="65" ht="116" customHeight="1">
      <c r="A65" s="13" t="inlineStr">
        <is>
          <t>R-23</t>
        </is>
      </c>
      <c r="B65" s="13" t="inlineStr">
        <is>
          <t>R</t>
        </is>
      </c>
      <c r="C65" s="13" t="inlineStr">
        <is>
          <t>3 封閉內測</t>
        </is>
      </c>
      <c r="D65" s="6" t="inlineStr">
        <is>
          <t>多品牌</t>
        </is>
      </c>
      <c r="E65" s="6" t="inlineStr">
        <is>
          <t>認領和顯示按品牌分開</t>
        </is>
      </c>
      <c r="F65" s="13" t="inlineStr">
        <is>
          <t>不適用</t>
        </is>
      </c>
      <c r="G65" s="13" t="inlineStr">
        <is>
          <t>未測試</t>
        </is>
      </c>
      <c r="I65" s="6" t="inlineStr">
        <is>
          <t>同一個人可能有兩個品牌的玩具。快活的設備如果能在 AI Buddy App 裡認領，或 App 列出其他品牌的設備，客戶會看到不屬於他們的品牌和角色。</t>
        </is>
      </c>
      <c r="J65" s="6" t="inlineStr">
        <is>
          <t>frontend-nextjs/db/devices.ts（認領）、app/actions.ts、components/Settings/*、middleware（按網址判斷品牌）；R-21 藍牙廣播帶品牌</t>
        </is>
      </c>
      <c r="K65" s="6" t="inlineStr">
        <is>
          <t>① 網頁按網址判斷品牌（每個品牌一個網址），在伺服器端判斷，不信任前端傳來的品牌 ② 認領時設備的 brand_key 必須等於目前網址的品牌，否則不認領，並提示「這部玩具要用 XX App 設定」；R-21 的藍牙清單已按品牌過濾，伺服器端再檢查一次 ③ 設定頁、記憶頁只列出目前品牌的設備 ④ 帳號共用：同一個 email 在不同品牌的 App 都能登入，各自只看到自己品牌的設備</t>
        </is>
      </c>
      <c r="L65" s="6" t="inlineStr">
        <is>
          <t>① 快活設備在 AI Buddy 網址認領 → 被拒並顯示提示；在快活網址 → 成功 ② 一個帳號綁兩個品牌各一台：兩個網址各只看到一台 ③ 直接呼叫認領 action 並帶別的品牌參數 → 無效</t>
        </is>
      </c>
      <c r="M65" s="13" t="inlineStr">
        <is>
          <t>R-22</t>
        </is>
      </c>
      <c r="P65" s="6" t="inlineStr">
        <is>
          <t>[2026-10-12] 新增
[2026-10-12] 2026-10-12：每套部署只有自己品牌的帳號和設備，認領和顯示自然分開。保留的防呆（設備品牌和本套不符就拒絕）併入 R-34 ⑧，綁定隔離由 R-35 ② 驗證。</t>
        </is>
      </c>
    </row>
    <row r="66" ht="74" customHeight="1">
      <c r="A66" s="13" t="inlineStr">
        <is>
          <t>R-24</t>
        </is>
      </c>
      <c r="B66" s="13" t="inlineStr">
        <is>
          <t>R</t>
        </is>
      </c>
      <c r="C66" s="13" t="inlineStr">
        <is>
          <t>3 封閉內測</t>
        </is>
      </c>
      <c r="D66" s="6" t="inlineStr">
        <is>
          <t>多品牌</t>
        </is>
      </c>
      <c r="E66" s="6" t="inlineStr">
        <is>
          <t>設備只能用自己品牌的角色</t>
        </is>
      </c>
      <c r="F66" s="13" t="inlineStr">
        <is>
          <t>未開始</t>
        </is>
      </c>
      <c r="G66" s="13" t="inlineStr">
        <is>
          <t>未測試</t>
        </is>
      </c>
      <c r="I66" s="6" t="inlineStr">
        <is>
          <t>多 IP 第一期所有 IP 都可切換。但快活是馬會授權產品：快活的設備不能切到其他品牌的角色，其他品牌也不能用快活的角色。</t>
        </is>
      </c>
      <c r="J66" s="6" t="inlineStr">
        <is>
          <t>brands 表的允許 IP；personalities.ip_key；server/fastapi（session 載入角色處）；設定頁角色選擇；admin 頁</t>
        </is>
      </c>
      <c r="K66" s="6" t="inlineStr">
        <is>
          <t>① 每套部署只上架本品牌允許的 IP 下的角色（允許的 IP 來自品牌設定，R-34）② 伺服器端檢查：設備的角色不屬於本品牌允許的 IP 時，改用本品牌的預設角色並記警告 ③ 快活的設備鎖定快活 IP，不能切換</t>
        </is>
      </c>
      <c r="L66" s="6" t="inlineStr">
        <is>
          <t>① 快活那套的角色頁只見快活角色 ② 直接改資料庫把快活設備的角色設成其他 IP 的角色，下一個 session 用回快活預設角色並有警告 log ③ 快活 App 沒有切換 IP 的入口</t>
        </is>
      </c>
      <c r="M66" s="13" t="inlineStr">
        <is>
          <t>R-34</t>
        </is>
      </c>
      <c r="P66" s="6" t="inlineStr">
        <is>
          <t>[2026-10-12] 新增
[2026-10-12] 2026-10-12：改為按部署分開（R-34），不再依賴 brands 表。</t>
        </is>
      </c>
    </row>
    <row r="67" ht="116" customHeight="1">
      <c r="A67" s="13" t="inlineStr">
        <is>
          <t>R-25</t>
        </is>
      </c>
      <c r="B67" s="13" t="inlineStr">
        <is>
          <t>R</t>
        </is>
      </c>
      <c r="C67" s="13" t="inlineStr">
        <is>
          <t>2 內測準備</t>
        </is>
      </c>
      <c r="D67" s="6" t="inlineStr">
        <is>
          <t>App</t>
        </is>
      </c>
      <c r="E67" s="6" t="inlineStr">
        <is>
          <t>網頁的品牌主題系統</t>
        </is>
      </c>
      <c r="F67" s="13" t="inlineStr">
        <is>
          <t>未開始</t>
        </is>
      </c>
      <c r="G67" s="13" t="inlineStr">
        <is>
          <t>未測試</t>
        </is>
      </c>
      <c r="I67" s="6" t="inlineStr">
        <is>
          <t>三個客戶要不同的 UI，但後面要共用。如果品牌名稱和顏色寫死在元件裡，每加一個品牌都要改程式碼，三個 App 會分叉。</t>
        </is>
      </c>
      <c r="J67" s="6" t="inlineStr">
        <is>
          <t>frontend-nextjs/app/globals.css（CSS 變數）、tailwind.config.ts、app/layout.tsx；新增 frontend-nextjs/brands/&lt;品牌&gt;/（主題、圖示、文案、功能開關）</t>
        </is>
      </c>
      <c r="K67" s="6" t="inlineStr">
        <is>
          <t>① 每個品牌一個資料夾：主題 token（顏色、字體、圓角）、logo 和圖示、文案、功能開關；首頁、上手流程、角色頁可以有品牌版本，其餘頁面共用 ② 由部署的環境變數選品牌（每套部署一個品牌，見 R-34），伺服器端渲染的第一屏就是對的主題，不閃爍 ③ 共用元件裡沒有品牌名稱和寫死的品牌顏色 ④ 加一個品牌只需要加資料夾、設定和一套部署，不用改共用元件</t>
        </is>
      </c>
      <c r="L67" s="6" t="inlineStr">
        <is>
          <t>① 本機用三個品牌的環境變數各啟動一次：顏色、logo、文案、頁面標題都對 ② grep 共用元件：沒有「快活」「AI Buddy」等品牌字眼，也沒有寫死的品牌顏色 ③ 複製一個測試品牌資料夾，不改程式碼就能顯示 ④ tsc 和 next build 通過</t>
        </is>
      </c>
      <c r="M67" s="13" t="n"/>
      <c r="P67" s="6" t="inlineStr">
        <is>
          <t>[2026-10-12] 新增
[2026-10-12] 2026-10-12：品牌改由部署的環境變數決定，不再按網址判斷（三套分開部署，R-34）。</t>
        </is>
      </c>
    </row>
    <row r="68" ht="116" customHeight="1">
      <c r="A68" s="13" t="inlineStr">
        <is>
          <t>R-26</t>
        </is>
      </c>
      <c r="B68" s="13" t="inlineStr">
        <is>
          <t>R</t>
        </is>
      </c>
      <c r="C68" s="13" t="inlineStr">
        <is>
          <t>2 內測準備</t>
        </is>
      </c>
      <c r="D68" s="6" t="inlineStr">
        <is>
          <t>App</t>
        </is>
      </c>
      <c r="E68" s="6" t="inlineStr">
        <is>
          <t>原生殼與網頁的橋接清單</t>
        </is>
      </c>
      <c r="F68" s="13" t="inlineStr">
        <is>
          <t>未開始</t>
        </is>
      </c>
      <c r="G68" s="13" t="inlineStr">
        <is>
          <t>未測試</t>
        </is>
      </c>
      <c r="I68" s="6" t="inlineStr">
        <is>
          <t>殼由同事做，我們不控制殼的程式碼。網頁需要的原生能力如果沒有先講好介面，雙方會各做各的，到送審前才發現對不上。</t>
        </is>
      </c>
      <c r="J68" s="6" t="inlineStr">
        <is>
          <t>新增 docs/app-bridge.md；frontend-nextjs（呼叫殼的 JS 介面，以及普通瀏覽器裡的替代做法）</t>
        </is>
      </c>
      <c r="K68" s="6" t="inlineStr">
        <is>
          <t>① docs/app-bridge.md 列出每項能力的 JS 介面、參數、回傳和錯誤：藍牙配網與綁定（R-21：掃描、Wi-Fi 清單、送 SSID／密碼／綁定票）、原生 Google／Apple 登入回傳 id token、推送 token 登記、麥克風權限、App 內刪除帳號入口、深層連結、殼告訴網頁自己的品牌和版本 ② 做殼的同事確認 ③ 偵測不到殼時（普通瀏覽器），每項都有替代做法或明確提示</t>
        </is>
      </c>
      <c r="L68" s="6" t="inlineStr">
        <is>
          <t>① 同事書面確認（用戶確認） ② 普通瀏覽器打開：每項功能有替代或提示，console 沒有錯誤 ③ 在頁面注入假的殼介面，逐項跑成功和失敗兩條路徑</t>
        </is>
      </c>
      <c r="M68" s="13" t="n"/>
      <c r="P68" s="6" t="inlineStr">
        <is>
          <t>[2026-10-12] 新增</t>
        </is>
      </c>
    </row>
    <row r="69" ht="102" customHeight="1">
      <c r="A69" s="13" t="inlineStr">
        <is>
          <t>R-27</t>
        </is>
      </c>
      <c r="B69" s="13" t="inlineStr">
        <is>
          <t>R</t>
        </is>
      </c>
      <c r="C69" s="13" t="inlineStr">
        <is>
          <t>2 內測準備</t>
        </is>
      </c>
      <c r="D69" s="6" t="inlineStr">
        <is>
          <t>App</t>
        </is>
      </c>
      <c r="E69" s="6" t="inlineStr">
        <is>
          <t>App 內登入：驗證碼、原生社交登入、刪除帳號</t>
        </is>
      </c>
      <c r="F69" s="13" t="inlineStr">
        <is>
          <t>未開始</t>
        </is>
      </c>
      <c r="G69" s="13" t="inlineStr">
        <is>
          <t>未測試</t>
        </is>
      </c>
      <c r="I69" s="6" t="inlineStr">
        <is>
          <t>WebView 裡 Google 不允許 OAuth（disallowed_useragent）；確認信和重設密碼的連結會開到系統瀏覽器，回不到 App；Apple 規定有 Google 登入就要有同等的私隱登入（4.8），能註冊就要能在 App 內刪除帳號（5.1.1(v)）。</t>
        </is>
      </c>
      <c r="J69" s="6" t="inlineStr">
        <is>
          <t>frontend-nextjs/app/(auth-pages)/login、components/GoogleLoginButton.tsx（現在用 signInWithOAuth）、app/actions.ts；Supabase Auth 設定（Email OTP、Apple provider）</t>
        </is>
      </c>
      <c r="K69" s="6" t="inlineStr">
        <is>
          <t>① email 註冊、登入、重設密碼都改用 App 內輸入驗證碼，不靠郵件連結 ② 在殼裡，Google 和 Apple 登入由殼原生完成，網頁用 signInWithIdToken 換 session；普通瀏覽器保留現有做法 ③ 提供 Sign in with Apple ④ 設定頁可以刪除帳號：解綁全部設備並清除記憶（沿用 P1-12 的清除流程）、刪除帳號資料，完成後登出</t>
        </is>
      </c>
      <c r="L69" s="6" t="inlineStr">
        <is>
          <t>① iOS 和 Android 殼內：email 驗證碼註冊、登入、重設密碼，全程不離開 App ② 殼內 Google、Apple 登入成功並拿到 session ③ 刪除帳號後：auth 用戶不存在，設備變回未認領，該帳號的 memory_facts／memory_segments／conversations 都是 0 行 ④ 普通瀏覽器登入照常</t>
        </is>
      </c>
      <c r="M69" s="13" t="inlineStr">
        <is>
          <t>R-26</t>
        </is>
      </c>
      <c r="P69" s="6" t="inlineStr">
        <is>
          <t>[2026-10-12] 新增：signup-admin-accounts／release-multi-device 分支正在改註冊和登入（Split sign-up from login），這項要等它們合併後再做，避免衝突。</t>
        </is>
      </c>
    </row>
    <row r="70" ht="88" customHeight="1">
      <c r="A70" s="13" t="inlineStr">
        <is>
          <t>R-28</t>
        </is>
      </c>
      <c r="B70" s="13" t="inlineStr">
        <is>
          <t>R</t>
        </is>
      </c>
      <c r="C70" s="13" t="inlineStr">
        <is>
          <t>3 封閉內測</t>
        </is>
      </c>
      <c r="D70" s="6" t="inlineStr">
        <is>
          <t>App</t>
        </is>
      </c>
      <c r="E70" s="6" t="inlineStr">
        <is>
          <t>三個 App 的殼：品牌版本與測試版</t>
        </is>
      </c>
      <c r="F70" s="13" t="inlineStr">
        <is>
          <t>未開始</t>
        </is>
      </c>
      <c r="G70" s="13" t="inlineStr">
        <is>
          <t>未測試</t>
        </is>
      </c>
      <c r="I70" s="6" t="inlineStr">
        <is>
          <t>三個 App 要同時交付。殼由同事做，要追蹤三個版本的名稱、圖示、bundle id、推送和藍牙權限，並發出 TestFlight 和 Google 內部測試版。</t>
        </is>
      </c>
      <c r="J70" s="6" t="inlineStr">
        <is>
          <t>殼的專案（同事負責）；frontend-nextjs/brands/&lt;品牌&gt;/ 的圖示和名稱；docs/app-bridge.md</t>
        </is>
      </c>
      <c r="K70" s="6" t="inlineStr">
        <is>
          <t>① 一個殼專案出三個 App：名稱、圖示、啟動畫面、bundle id 各自不同，各自打開自己品牌的網址 ② 推送通知可用（至少：設備第一次上線、低電提醒） ③ iOS 寫好藍牙和麥克風的權限說明（NSBluetoothAlwaysUsageDescription 等） ④ TestFlight 和 Google 內部測試都有三個 App 的測試版</t>
        </is>
      </c>
      <c r="L70" s="6" t="inlineStr">
        <is>
          <t>① 同一部手機同時裝三個 App，各自顯示正確品牌 ② 每個 App 收到一則推送 ③ 測試人員從 TestFlight 和 Google 內部測試安裝成功（用戶確認）</t>
        </is>
      </c>
      <c r="M70" s="13" t="inlineStr">
        <is>
          <t>R-25, R-26</t>
        </is>
      </c>
      <c r="P70" s="6" t="inlineStr">
        <is>
          <t>[2026-10-12] 新增</t>
        </is>
      </c>
    </row>
    <row r="71" ht="74" customHeight="1">
      <c r="A71" s="13" t="inlineStr">
        <is>
          <t>R-29</t>
        </is>
      </c>
      <c r="B71" s="13" t="inlineStr">
        <is>
          <t>R</t>
        </is>
      </c>
      <c r="C71" s="13" t="inlineStr">
        <is>
          <t>3 封閉內測</t>
        </is>
      </c>
      <c r="D71" s="6" t="inlineStr">
        <is>
          <t>App</t>
        </is>
      </c>
      <c r="E71" s="6" t="inlineStr">
        <is>
          <t>AI Buddy App（品牌 C）頁面</t>
        </is>
      </c>
      <c r="F71" s="13" t="inlineStr">
        <is>
          <t>阻塞</t>
        </is>
      </c>
      <c r="G71" s="13" t="inlineStr">
        <is>
          <t>未測試</t>
        </is>
      </c>
      <c r="I71" s="6" t="inlineStr">
        <is>
          <t>W4 開始的內部測試要用它。由現有網頁改成品牌 C；兒童版還要有家長控制的入口。</t>
        </is>
      </c>
      <c r="J71" s="6" t="inlineStr">
        <is>
          <t>frontend-nextjs/app/home、components/Settings、components/Onboarding；frontend-nextjs/brands/&lt;AI Buddy&gt;/</t>
        </is>
      </c>
      <c r="K71" s="6" t="inlineStr">
        <is>
          <t>用品牌 C 主題完成：註冊登入、藍牙配網與綁定（R-21）、選角色、孩子資料（R-20）、記憶、家長鎖（P1-09）和每日上限（R-12）的入口；所有頁面在手機寬度可用</t>
        </is>
      </c>
      <c r="L71" s="6" t="inlineStr">
        <is>
          <t>① 新帳號在殼內從註冊到第一次對話走一遍 ② 每個頁面 375px 寬沒有橫向捲動 ③ 內部測試第一週回報的阻塞問題全部處理</t>
        </is>
      </c>
      <c r="M71" s="13" t="inlineStr">
        <is>
          <t>R-25, R-34</t>
        </is>
      </c>
      <c r="P71" s="6" t="inlineStr">
        <is>
          <t>[2026-10-12] 新增
[2026-10-13] 2026-10-13 用戶決定：AI Buddy（品牌 C）延到 1/15 之後，本項不卡 1/15 出廠；AI Buddy 啟動時再開。</t>
        </is>
      </c>
    </row>
    <row r="72" ht="88" customHeight="1">
      <c r="A72" s="13" t="inlineStr">
        <is>
          <t>R-30</t>
        </is>
      </c>
      <c r="B72" s="13" t="inlineStr">
        <is>
          <t>R</t>
        </is>
      </c>
      <c r="C72" s="13" t="inlineStr">
        <is>
          <t>3 封閉內測</t>
        </is>
      </c>
      <c r="D72" s="6" t="inlineStr">
        <is>
          <t>App</t>
        </is>
      </c>
      <c r="E72" s="6" t="inlineStr">
        <is>
          <t>快活 App（品牌 A）頁面</t>
        </is>
      </c>
      <c r="F72" s="13" t="inlineStr">
        <is>
          <t>未開始</t>
        </is>
      </c>
      <c r="G72" s="13" t="inlineStr">
        <is>
          <t>未測試</t>
        </is>
      </c>
      <c r="I72" s="6" t="inlineStr">
        <is>
          <t>快活提案向馬會承諾了「綁定會員」「記得甚麼，看得見」「一鍵忘記」和三語，這些頁面現在都沒有。會員綁定用我們的帳號還是馬會 SSO 未定（Q12）。</t>
        </is>
      </c>
      <c r="J72" s="6" t="inlineStr">
        <is>
          <t>frontend-nextjs（品牌 A 的首頁、上手流程、記憶頁）；frontend-nextjs/brands/&lt;快活&gt;/；components/Settings/MemorySection.tsx</t>
        </is>
      </c>
      <c r="K72" s="6" t="inlineStr">
        <is>
          <t>① 上手流程：開機 → 藍牙配網 → 綁定會員（稱呼、生日、語言、喜好） ② 記憶頁列出快活記住的每一項，每項可單獨刪除，另有「全部忘記」 ③ 語言可選粵語、普通話、英文，下一句對話就換語言 ④ 用快活主題，頁面沒有兒童版字眼（家長、孩子）</t>
        </is>
      </c>
      <c r="L72" s="6" t="inlineStr">
        <is>
          <t>① 綁定會員後，開場白用對稱呼和語言 ② 刪除一項記憶後，再問相關問題不再提起；「全部忘記」後該設備的 memory_facts 0 行 ③ 三種語言各對話一輪 ④ grep 品牌 A 的頁面和文案：沒有「家長」「孩子」</t>
        </is>
      </c>
      <c r="M72" s="13" t="inlineStr">
        <is>
          <t>R-25, R-34, Q12</t>
        </is>
      </c>
      <c r="P72" s="6" t="inlineStr">
        <is>
          <t>[2026-10-12] 新增</t>
        </is>
      </c>
    </row>
    <row r="73" ht="74" customHeight="1">
      <c r="A73" s="13" t="inlineStr">
        <is>
          <t>R-31</t>
        </is>
      </c>
      <c r="B73" s="13" t="inlineStr">
        <is>
          <t>R</t>
        </is>
      </c>
      <c r="C73" s="13" t="inlineStr">
        <is>
          <t>3 封閉內測</t>
        </is>
      </c>
      <c r="D73" s="6" t="inlineStr">
        <is>
          <t>App</t>
        </is>
      </c>
      <c r="E73" s="6" t="inlineStr">
        <is>
          <t>政協青年聯會版 App（品牌 B）頁面</t>
        </is>
      </c>
      <c r="F73" s="13" t="inlineStr">
        <is>
          <t>未開始</t>
        </is>
      </c>
      <c r="G73" s="13" t="inlineStr">
        <is>
          <t>未測試</t>
        </is>
      </c>
      <c r="I73" s="6" t="inlineStr">
        <is>
          <t>用戶是成人會員；角色、語言、內容都還沒有，要客戶提供（Q13）。</t>
        </is>
      </c>
      <c r="J73" s="6" t="inlineStr">
        <is>
          <t>frontend-nextjs（品牌 B 頁面）；frontend-nextjs/brands/&lt;政協青年聯會&gt;/</t>
        </is>
      </c>
      <c r="K73" s="6" t="inlineStr">
        <is>
          <t>① 用品牌 B 主題完成：註冊登入、藍牙配網與綁定、綁定會員、角色、記憶查看與刪除、語言 ② 頁面沒有兒童版字眼 ③ 角色和內容按客戶提供的資料設定</t>
        </is>
      </c>
      <c r="L73" s="6" t="inlineStr">
        <is>
          <t>① 新帳號從註冊到第一次對話走一遍 ② 客戶看過頁面和角色後確認（用戶代為確認） ③ grep 品牌 B 的頁面和文案：沒有「家長」「孩子」</t>
        </is>
      </c>
      <c r="M73" s="13" t="inlineStr">
        <is>
          <t>R-25, R-34, Q13</t>
        </is>
      </c>
      <c r="P73" s="6" t="inlineStr">
        <is>
          <t>[2026-10-12] 新增
[2026-10-13] 2026-10-13 用戶決定：政協青年聯會版沿用快活的成人版流程，只換外觀和角色，不另寫頁面。</t>
        </is>
      </c>
    </row>
    <row r="74" ht="60" customHeight="1">
      <c r="A74" s="13" t="inlineStr">
        <is>
          <t>R-32</t>
        </is>
      </c>
      <c r="B74" s="13" t="inlineStr">
        <is>
          <t>R</t>
        </is>
      </c>
      <c r="C74" s="13" t="inlineStr">
        <is>
          <t>2 內測準備</t>
        </is>
      </c>
      <c r="D74" s="6" t="inlineStr">
        <is>
          <t>App</t>
        </is>
      </c>
      <c r="E74" s="6" t="inlineStr">
        <is>
          <t>開發者帳號：馬會、政協青年聯會、AI Buddy</t>
        </is>
      </c>
      <c r="F74" s="13" t="inlineStr">
        <is>
          <t>未開始</t>
        </is>
      </c>
      <c r="G74" s="13" t="inlineStr">
        <is>
          <t>未測試</t>
        </is>
      </c>
      <c r="I74" s="6" t="inlineStr">
        <is>
          <t>Apple 不接受同一個開發者上架三個同模板的 App（4.2.6、4.3），馬會和政協青年聯會要用自己的機構帳號。申請 D-U-N-S 再加 Apple 審核要 1–3 週，所以 W1 就要開始。</t>
        </is>
      </c>
      <c r="J74" s="6" t="inlineStr">
        <is>
          <t>Apple Developer Program、Google Play Console；各品牌的 D-U-N-S 編碼</t>
        </is>
      </c>
      <c r="K74" s="6" t="inlineStr">
        <is>
          <t>① Apple 和 Google Play 各三個機構帳號都開好（AI Buddy 用我們自己的） ② 我方以開發成員身份加入馬會和政協青年聯會的帳號，權限足夠上傳和送審 ③ 各品牌的私隱政策網址和客服聯絡已經提供</t>
        </is>
      </c>
      <c r="L74" s="6" t="inlineStr">
        <is>
          <t>用戶確認：六個帳號都能登入，我方成員能在每個帳號建立 App 記錄</t>
        </is>
      </c>
      <c r="M74" s="13" t="n"/>
      <c r="P74" s="6" t="inlineStr">
        <is>
          <t>[2026-10-12] 新增：W1 就要通知馬會和政協青年聯會開始申請；最遲 11/13（W5）完成。</t>
        </is>
      </c>
    </row>
    <row r="75" ht="60" customHeight="1">
      <c r="A75" s="13" t="inlineStr">
        <is>
          <t>R-33</t>
        </is>
      </c>
      <c r="B75" s="13" t="inlineStr">
        <is>
          <t>R</t>
        </is>
      </c>
      <c r="C75" s="13" t="inlineStr">
        <is>
          <t>4 量產出貨</t>
        </is>
      </c>
      <c r="D75" s="6" t="inlineStr">
        <is>
          <t>App</t>
        </is>
      </c>
      <c r="E75" s="6" t="inlineStr">
        <is>
          <t>三個 App 送審並通過</t>
        </is>
      </c>
      <c r="F75" s="13" t="inlineStr">
        <is>
          <t>未開始</t>
        </is>
      </c>
      <c r="G75" s="13" t="inlineStr">
        <is>
          <t>未測試</t>
        </is>
      </c>
      <c r="I75" s="6" t="inlineStr">
        <is>
          <t>純網頁殼會被拒（4.2）；聖誕前後審核變慢；被拒要預留 1–2 輪修改。殼過審之後介面在網頁裡，再改介面不用重新送審。</t>
        </is>
      </c>
      <c r="J75" s="6" t="inlineStr">
        <is>
          <t>App Store Connect、Google Play Console；上架資料（截圖、私隱標籤、審核說明）</t>
        </is>
      </c>
      <c r="K75" s="6" t="inlineStr">
        <is>
          <t>12/11 前三個 App 在 Apple 和 Google 都審核通過（先不公開，分階段發佈）；審核說明附測試帳號和設備使用說明；私隱標籤和實際收集的資料一致</t>
        </is>
      </c>
      <c r="L75" s="6" t="inlineStr">
        <is>
          <t>① App Store Connect 和 Play Console 三個 App 都是已核准（截圖或用戶確認） ② 私隱標籤逐項對照資料流向（P1-05）</t>
        </is>
      </c>
      <c r="M75" s="13" t="inlineStr">
        <is>
          <t>R-27, R-21, R-28, R-29, R-30, R-31, R-32</t>
        </is>
      </c>
      <c r="P75" s="6" t="inlineStr">
        <is>
          <t>[2026-10-12] 新增</t>
        </is>
      </c>
    </row>
    <row r="76" ht="284" customHeight="1">
      <c r="A76" s="13" t="inlineStr">
        <is>
          <t>R-34</t>
        </is>
      </c>
      <c r="B76" s="13" t="inlineStr">
        <is>
          <t>R</t>
        </is>
      </c>
      <c r="C76" s="13" t="inlineStr">
        <is>
          <t>3 封閉內測</t>
        </is>
      </c>
      <c r="D76" s="6" t="inlineStr">
        <is>
          <t>多品牌</t>
        </is>
      </c>
      <c r="E76" s="6" t="inlineStr">
        <is>
          <t>每個品牌一套獨立部署（資料庫、網頁、語音伺服器）</t>
        </is>
      </c>
      <c r="F76" s="13" t="inlineStr">
        <is>
          <t>未開始</t>
        </is>
      </c>
      <c r="G76" s="13" t="inlineStr">
        <is>
          <t>未測試</t>
        </is>
      </c>
      <c r="I76" s="6" t="inlineStr">
        <is>
          <t>三個 B2B 品牌要求資料分開，現在只有一套（elatoai.hkqft.com）。分開後運維變三倍：migration、備份、升級、監控都要做三次，漏一套就會版本不一致；三套 Supabase 放同一台伺服器，記憶體可能不夠。</t>
        </is>
      </c>
      <c r="J76" s="6" t="inlineStr">
        <is>
          <t>server/fastapi/docker-compose.ghcr.yml、frontend-nextjs/docker-compose.ghcr.yml、伺服器上的自建 Supabase compose；docs/deploy/ 的 runbook；DNS</t>
        </is>
      </c>
      <c r="K76" s="6" t="inlineStr">
        <is>
          <t>① 三套放在同一台伺服器：每套有自己的 Supabase（資料庫、帳號、儲存）、網頁和管理後台、語音伺服器，以及各自的容器、資料卷、內部網絡、子網域和密鑰（JWT secret、service key、DEVICE_JWT_SECRET、AI 供應商 API key）② 現有 elatoai.hkqft.com 改為品牌 C AI Buddy，現有帳號、設備、資料不變；馬會快活、政協青年聯會版各開一套新的 ③ 三套用同一組映像、同一個版本；品牌只由環境變數和品牌包決定（取代 R-22 的 brands 表）：品牌代號、名稱、允許的 IP、語言、安全規則類型（兒童／成人）、資料保留天數、私隱政策網址、客服、App 網址；程式碼裡沒有按品牌名稱分支的判斷 ④ 每套的設定由同一個模板生成，密鑰集中保存 ⑤ 一個腳本按品牌循環做 migration、部署、冒煙測試（登入、語音對話、OTA 檢查），三套一次跑完；發佈順序固定為先 AI Buddy，觀察一天後再上另外兩套 ⑥ 三套各自備份，監控集中在一個面板，告警寫明品牌 ⑦ 關掉三套都用不到的 Supabase 服務 ⑧ 防呆：設備記錄的品牌和本套不符時，語音伺服器以 4401 拒絕</t>
        </is>
      </c>
      <c r="L76" s="6" t="inlineStr">
        <is>
          <t>① 腳本部署三套後，三個子網域的網頁、/healthz、登入、冒煙測試全部通過 ② 三個資料庫的 migration 版本一致 ③ 用品牌 A 的設備 token 連品牌 B 的語音伺服器 → 4401；用品牌 B 的 key 讀不到品牌 A 的資料 ④ 在品牌 C 建的帳號，在品牌 A 的網頁登入不了 ⑤ 停掉其中一套，另外兩套照常對話 ⑥ 三套同時運行時記錄伺服器的記憶體和 CPU，留有餘量 ⑦ grep 程式碼沒有寫死的品牌名稱判斷</t>
        </is>
      </c>
      <c r="M76" s="13" t="n"/>
      <c r="P76" s="6" t="inlineStr">
        <is>
          <t>[2026-10-12] 新增：2026-10-12 用戶決定：資料庫、網頁、語音伺服器都按品牌分開；三套先放同一台伺服器；現有線上環境變成 AI Buddy 那套。</t>
        </is>
      </c>
    </row>
    <row r="77" ht="116" customHeight="1">
      <c r="A77" s="13" t="inlineStr">
        <is>
          <t>R-35</t>
        </is>
      </c>
      <c r="B77" s="13" t="inlineStr">
        <is>
          <t>R</t>
        </is>
      </c>
      <c r="C77" s="13" t="inlineStr">
        <is>
          <t>3 封閉內測</t>
        </is>
      </c>
      <c r="D77" s="6" t="inlineStr">
        <is>
          <t>韌體</t>
        </is>
      </c>
      <c r="E77" s="6" t="inlineStr">
        <is>
          <t>韌體按品牌連線：伺服器網址在出廠時寫入</t>
        </is>
      </c>
      <c r="F77" s="13" t="inlineStr">
        <is>
          <t>未開始</t>
        </is>
      </c>
      <c r="G77" s="13" t="inlineStr">
        <is>
          <t>未測試</t>
        </is>
      </c>
      <c r="I77" s="6" t="inlineStr">
        <is>
          <t>伺服器網址現在寫死在韌體裡（Config.cpp 的 elatoai.hkqft.com）。三個品牌各自一套伺服器後，同一個韌體要按品牌連到不同網址；設備第一次連網前沒有機會 OTA，所以這段必須進 11/27 交給 Spotpear 的出廠映像。</t>
        </is>
      </c>
      <c r="J77" s="6" t="inlineStr">
        <is>
          <t>firmware-arduino/src/Config.cpp（ws_server、backend_server）；出廠工位腳本（R-10）</t>
        </is>
      </c>
      <c r="K77" s="6" t="inlineStr">
        <is>
          <t>① 韌體從 NVS 讀語音伺服器和後端網址，取 token、OTA、藍牙綁定後的認領、/ws 全部用它；出廠工位寫入品牌時一併寫入該品牌的網址 ② NVS 沒有網址時不連任何正式伺服器，停在出廠模式並在序列埠提示 ③ 網址用我們控制的固定子網域，以後搬機房只改 DNS ④ 用戶改不了網址：只有出廠工位經序列埠寫入 ⑤ 開發用的 -localws／-localall 環境照常可用</t>
        </is>
      </c>
      <c r="L77" s="6" t="inlineStr">
        <is>
          <t>① 兩片板分別寫入品牌 A、C 的網址，各自連上自己那套，完成對話和 OTA 檢查 ② 寫入 A 網址的板，用 C 的 App 綁定失敗 ③ 清空 NVS 後開機停在出廠模式，不連正式伺服器 ④ 記錄 11/27 交 Spotpear 的映像版本，確認包含這段</t>
        </is>
      </c>
      <c r="M77" s="13" t="inlineStr">
        <is>
          <t>R-34</t>
        </is>
      </c>
      <c r="P77" s="6" t="inlineStr">
        <is>
          <t>[2026-10-12] 新增：2026-10-12 新增：三個品牌分開部署（R-34）的直接結果。</t>
        </is>
      </c>
    </row>
    <row r="78" ht="298" customHeight="1">
      <c r="A78" s="13" t="inlineStr">
        <is>
          <t>R-36</t>
        </is>
      </c>
      <c r="B78" s="13" t="inlineStr">
        <is>
          <t>R</t>
        </is>
      </c>
      <c r="C78" s="13" t="inlineStr">
        <is>
          <t>2 內測準備</t>
        </is>
      </c>
      <c r="D78" s="6" t="inlineStr">
        <is>
          <t>體驗</t>
        </is>
      </c>
      <c r="E78" s="6" t="inlineStr">
        <is>
          <t>未認領的設備停在配對狀態，不再每秒重連 websocket</t>
        </is>
      </c>
      <c r="F78" s="13" t="inlineStr">
        <is>
          <t>進行中</t>
        </is>
      </c>
      <c r="G78" s="13" t="inlineStr">
        <is>
          <t>部分通過</t>
        </is>
      </c>
      <c r="I78" s="6" t="inlineStr">
        <is>
          <t>解綁或從未認領的設備拿到 202 後，fetchDeviceToken 只回傳 false，但 websocket 已啟動、帶著舊 token 每秒自動重連，每次都在 auth 前被 4401 拒絕，直到被認領（P1-12 真機 62:70 2026-10-12 發現）。浪費電和流量、伺服器 log 被洗版，C3 上每次重連都做一次 TLS。藍牙配網（R-21）也需要設備有一個明確的「待綁定」狀態。</t>
        </is>
      </c>
      <c r="J78" s="6" t="inlineStr">
        <is>
          <t>firmware-arduino/src/WifiManager.cpp:102（202 分支）、startSessionIfReady()；src/Audio.cpp:1374（authTokenRejected）</t>
        </is>
      </c>
      <c r="K78" s="6" t="inlineStr">
        <is>
          <t>① 拿到 202 或 websocket 被 4401 拒絕後，設備停掉 websocket 自動重連，進入待綁定狀態（燈號可分辨）。② 待綁定時只按退避（5 秒起、上限 PROVISION_BACKOFF_MAX）呼叫 generate_auth_token，不開 websocket。③ 被認領後下一次輪詢拿到 200，在 10 秒內（加退避）自動開 websocket 並能對話，不用重開機。④ 已綁定設備網絡斷線重連的行為不變。⑤ 隨 OTA 推出。</t>
        </is>
      </c>
      <c r="L78" s="6" t="inlineStr">
        <is>
          <t>真機 62:70（localall）：① 介面解綁 → 序列埠 60 秒內沒有 websocket 連線嘗試，語音伺服器 log 沒有連續 4401；只見 generate_auth_token 按退避重試 ② 重新認領 → 不按鍵、不重開機，設備自動連上並可對話 ③ 已綁定時拔掉路由器 30 秒再接回 → 照常重連 ④ 對照改動前，待綁定 5 分鐘的伺服器請求數</t>
        </is>
      </c>
      <c r="M78" s="13" t="inlineStr">
        <is>
          <t>P1-12</t>
        </is>
      </c>
      <c r="N78" s="6" t="inlineStr">
        <is>
          <t>補充 2026-10-15（1.7.5，含 R-36）：已綁定時兩次 Wi-Fi 切換各斷網 9–11 秒，都自動重連並重新 auth，沒有停在暫停狀態；30 秒斷網仍未做</t>
        </is>
      </c>
      <c r="O78" s="13" t="inlineStr">
        <is>
          <t>1bd85ac</t>
        </is>
      </c>
      <c r="P78" s="6" t="inlineStr">
        <is>
          <t>[2026-10-12] 新增：2026-10-12 從 P1-12 真機測試拆出。
[2026-10-12] 2026-10-12 韌體已改（分支 r-36-unclaimed-idle，以 mygithub/main 為基礎）：token 在 auth 前被拒就暫停 websocket（networkTask 不再呼叫 webSocket.loop），只有 startSessionIfReady 拿到新 token 才恢復；202 時清掉舊 token、標記未認領，閒置時 LED 慢閃洋紅（有螢幕的板顯示 NOT PAIRED）。spotpear-ai-toy 和 -localall 都編譯通過（Flash 75.6%）。真機測試未做：62:70 未接上，Mac 當時不在公司網絡。
[2026-10-15] rebase 衝突在 networkTask：R-36 的暫停條件和 R-41 的 reportPower() 都保留（reportPower 自己檢查連線）。分支未推送。</t>
        </is>
      </c>
    </row>
    <row r="79" ht="409" customHeight="1">
      <c r="A79" s="13" t="inlineStr">
        <is>
          <t>R-37</t>
        </is>
      </c>
      <c r="B79" s="13" t="inlineStr">
        <is>
          <t>R</t>
        </is>
      </c>
      <c r="C79" s="13" t="inlineStr">
        <is>
          <t>3 封閉內測</t>
        </is>
      </c>
      <c r="D79" s="6" t="inlineStr">
        <is>
          <t>體驗</t>
        </is>
      </c>
      <c r="E79" s="6" t="inlineStr">
        <is>
          <t>網頁設定玩具的 Wi-Fi：查看、新增、刪除</t>
        </is>
      </c>
      <c r="F79" s="13" t="inlineStr">
        <is>
          <t>進行中</t>
        </is>
      </c>
      <c r="G79" s="13" t="inlineStr">
        <is>
          <t>部分通過</t>
        </is>
      </c>
      <c r="I79" s="6" t="inlineStr">
        <is>
          <t>玩具連上 Wi-Fi 後設定熱點就關閉，用戶沒有入口再加第二個 Wi-Fi（例如手機熱點、親戚家）；現在只能在同一網絡打開 http://&lt;板子IP&gt;/wifi，而且那一頁不用登入。用戶 2026-10-13 參考競品的 Network Management 頁，要在網頁做。</t>
        </is>
      </c>
      <c r="J79" s="6" t="inlineStr">
        <is>
          <t>firmware-arduino/src/WifiManager.cpp、Audio.cpp（websocket 訊息）；server/fastapi/server.py（/ws/esp32 轉送）；frontend-nextjs 設定頁</t>
        </is>
      </c>
      <c r="K79" s="6" t="inlineStr">
        <is>
          <t>① 設定頁顯示玩具在線／離線、目前 Wi-Fi 和訊號、已記住的 Wi-Fi 清單（只有名稱，不顯示密碼）② 在線時可新增 Wi-Fi（輸入或從玩具掃描到的清單選）、刪除 Wi-Fi；不能刪除正在使用的那個 ③ 經 /ws/esp32 轉送：伺服器先確認是設備主人；密碼不寫入資料庫、不寫入日誌 ④ 新增不自動切換網絡；目前 Wi-Fi 消失時按訊號選，或由家長按「改用這個」（⑦）；清單標示「連過／未連過」⑤ 上限 8 個 ⑥ 韌體改動經 OTA 推出 ⑦ 已記住、未在使用的 Wi-Fi 可按「改用這個」：玩具斷開目前網絡改連它，最多 20 秒，要連上我們的伺服器才算成功；失敗就自動連回原網絡，頁面顯示「連不上 X，已回到 Y」；切換中頁面顯示切換中，玩具重新連上後刷新；成功後標示連過</t>
        </is>
      </c>
      <c r="L79" s="6" t="inlineStr">
        <is>
          <t>① 網頁新增 Wi-Fi B，關掉 A → 玩具自動改連 B ② B 密碼打錯 → 玩具留在 A，B 標示未連過 ③ 嘗試刪除目前 Wi-Fi → 被拒 ④ 另一帳號呼叫同一接口 → 403 ⑤ 搜尋資料庫和伺服器日誌，找不到測試密碼 ⑥ 玩具離線時頁面顯示離線，新增按鈕停用 ⑦ 62:70：對已存的手機熱點按「改用這個」→ 玩具改連熱點並在 30 秒內重新在線、頁面顯示熱點為目前 Wi-Fi；熱點關掉時按「改用這個」→ 20 秒後回到原網絡、頁面顯示失敗原因；對目前 Wi-Fi、未存的 SSID、別人的設備 → 被拒</t>
        </is>
      </c>
      <c r="M79" s="13" t="n"/>
      <c r="N79" s="6" t="inlineStr">
        <is>
          <t>62:70（1.7.4/1.7.5，2026-10-15）：① 熱點關掉後醒來改連 HKQF - Guest 並上線（發生在醒來重開時）⑦ Use 按鈕、確認框、『Moving to…』；熱點關著時按 Use → 11 秒內頁面顯示『couldn't find lee’s iPhone nearby. It's back on HKQF - Guest』，串口 not_found → Back on Guest → 重連。過程中發現並修正：驅動殘留上一次的『找不到』令連回原網絡立即失敗並掉進 SoftAP（joinFor 6 秒內不信失敗，tryConnect 同用）。pytest 272 passed</t>
        </is>
      </c>
      <c r="O79" s="13" t="inlineStr">
        <is>
          <t>3c180cd</t>
        </is>
      </c>
      <c r="P79" s="6" t="inlineStr">
        <is>
          <t>[2026-10-13] 新增：時間表（project-schedule.xlsx「Jacky 開發與測試」）排在 W4 11/2–11/6，和快活網頁核心一起；內部測試的家庭要加家裡的 Wi-Fi。
[2026-10-13] 2026-10-13 應 Jacky 要求從 W4 提前開始。韌體：上限 8 個、NVS apOk%d 記錄連過、經 /ws/esp32 收 status/add/delete/scan、不刪不改目前 Wi-Fi、Wi-Fi 指令不印串口、修 delWifi 計數 bug。伺服器：device_wifi.py＋/internal/device_wifi（含 peek），密碼只轉送不留存。網頁：我 &gt; 裝置 &gt; Network &gt; Wi-Fi（Figma C4），deviceWifiAction 檢查擁有者。剩真機測試 ①②（需 62:70 刷 -localall＋兩個真實網絡）與 OTA。
[2026-10-15] 2026-10-15 用戶決定：加「改用這個 Wi-Fi」（⑦），④ 改為新增不自動切換、可由家長手動切換。起因：62:70 實測加了 iPhone 熱點也無法讓玩具改用。另：離線一律顯示「睡著了」會誤導（63:64 已 6 天未上線仍叫人按按鈕），待改為按上次上線時間分開提示。
[2026-10-15] 測試中修了原有 bug（a4 之後第二個 commit）：驅動在沒連上的網絡斷開時不發事件，WiFi.status() 留著上次的『找不到』，新嘗試一開始就被當失敗；1.7.4 切換失敗後連不回 Guest 並掉進 SoftAP，tryConnect() 也同樣。joinFor() 改為 6 秒後才相信失敗，tryConnect() 共用。雲端韌體同樣有這 bug。另：開機時 tryConnect() 挑最強的網絡但不檢查能否到伺服器，62:70 開機連上到不了 Mac 的熱點後一直卡著（見 P2-22 ④ 或另開任務）。分支 r-37-wifi-switch 未推送。
[2026-10-15] 更正上一條備註：stale『找不到』的修正是 22d7674（切換功能本身是 3c180cd）。
[2026-10-15] 2026-10-15：⑦ 的成功切換在本機測不到（熱點到不了 Mac 上的伺服器），留到部署上 UAT 或雲端後用 iPhone 熱點測一次。
[2026-10-15] 未做：⑦ 熱點開著但到不了伺服器（no_internet）→ 退回；⑦ 成功切換（需第二個能到 Mac 的網絡）；② 密碼打錯。發現：開機挑最強訊號、不檢查能否到伺服器，62:70 開機時連上 iPhone 熱點就一直取不到 token（本機伺服器到不了），建議併入 P2-22 ④ 或另開。分支 r-37-wifi-switch（3c180cd + 修正）未合併、未推送。</t>
        </is>
      </c>
    </row>
    <row r="80" ht="298" customHeight="1">
      <c r="A80" s="13" t="inlineStr">
        <is>
          <t>R-38</t>
        </is>
      </c>
      <c r="B80" s="13" t="inlineStr">
        <is>
          <t>R</t>
        </is>
      </c>
      <c r="C80" s="13" t="inlineStr">
        <is>
          <t>3 封閉內測</t>
        </is>
      </c>
      <c r="D80" s="6" t="inlineStr">
        <is>
          <t>產品</t>
        </is>
      </c>
      <c r="E80" s="6" t="inlineStr">
        <is>
          <t>公仔出廠鎖死所屬 IP，綁定時顯示該 IP 頭像</t>
        </is>
      </c>
      <c r="F80" s="13" t="inlineStr">
        <is>
          <t>未開始</t>
        </is>
      </c>
      <c r="G80" s="13" t="inlineStr">
        <is>
          <t>未測試</t>
        </is>
      </c>
      <c r="I80" s="6" t="inlineStr">
        <is>
          <t>同一個 App 會同時賣兩種以上鎖死的公仔。若 IP 只靠這套部署裡有哪些角色來區分，一個帳號上的兩隻公仔會共用同一個角色，其中一隻會說成另一個 IP 的人。</t>
        </is>
      </c>
      <c r="J80" s="6" t="inlineStr">
        <is>
          <t>supabase：devices.ip_key、devices.personality_id\nserver/fastapi/device_registry.py\nfrontend-nextjs 認領、My Devices、Playground\nadmin 的 IP image_url\n出廠登記（R-10）</t>
        </is>
      </c>
      <c r="K80" s="6" t="inlineStr">
        <is>
          <t>共用韌體映像不含某個 IP。出廠工位按 MAC 把 ip_key 和該 IP 的預設角色寫進 devices；板子不報 IP，解綁不清這欄，家長和 App 改不了。ip_key 為空的開發板維持現在的行為。認領前和 My Devices 用 ips.image_url 顯示這隻公仔的頭像；帳號上的 Current Character 仍是角色圖。角色在 devices.personality_id，資料庫拒絕把別的 IP 的角色寫到這台上。一個帳號可以同時綁兩種 IP 的公仔，各說各的角色；Playground 從某台進去，只列該 IP 的角色。語音伺服器讀這台自己的角色。孩子資料仍在帳號。記憶仍是（帳號、設備、ip_key），另一隻聽不到。</t>
        </is>
      </c>
      <c r="L80" s="6" t="inlineStr">
        <is>
          <t>① 登記兩塊 MAC，分別寫入 IP-A、IP-B 和各自的預設角色。兩塊板燒的是同一份韌體。查 devices，ip_key 和 personality_id 正確。
② 認領清單在按下認領前顯示該 IP 的名稱和 image_url；image_url 為空時用佔位圖。認領後 My Devices 卡片是這張圖，Current Character 仍是角色圖。
③ 同一帳號再認領另一 IP 的板。兩台設備卡片各顯示自己的 IP 頭像。
④ 用家長身份更新 devices.ip_key，被拒絕。把 personality_id 改成另一個 IP 的角色，被外鍵拒絕。
⑤ 從 IP-A 的設備進 Playground，只看到 A 的角色，沒有換到 B 的入口。A 的板開 session，用的是 A 的角色；B 的板不受影響。
⑥ 解綁 A 再被另一個帳號認領，ip_key 仍是 A，頭像不變。A 的記憶不會出現在 B 的 session。
⑦ ip_key 為空的開發板仍可選任何角色，session 照現在的帳號角色走。
⑧ 只更新韌體（OTA 或重燒 app），devices.ip_key 不變。</t>
        </is>
      </c>
      <c r="M80" s="13" t="inlineStr">
        <is>
          <t>P0-11</t>
        </is>
      </c>
      <c r="P80" s="6" t="inlineStr">
        <is>
          <t>[2026-10-13] 新增：2026-10-13 定案：同一個 App 裡兩種鎖死公仔是一定的。IP 在出廠登記時按 MAC 寫入，不編進韌體。</t>
        </is>
      </c>
    </row>
    <row r="81" ht="102" customHeight="1">
      <c r="A81" s="13" t="inlineStr">
        <is>
          <t>P2-13</t>
        </is>
      </c>
      <c r="B81" s="13" t="inlineStr">
        <is>
          <t>P2</t>
        </is>
      </c>
      <c r="C81" s="13" t="inlineStr">
        <is>
          <t>2 內測準備</t>
        </is>
      </c>
      <c r="D81" s="6" t="inlineStr">
        <is>
          <t>運維-後台</t>
        </is>
      </c>
      <c r="E81" s="6" t="inlineStr">
        <is>
          <t>Admin 後台改成分組側欄（新頁面先用示例數據預覽）</t>
        </is>
      </c>
      <c r="F81" s="13" t="inlineStr">
        <is>
          <t>進行中</t>
        </is>
      </c>
      <c r="G81" s="13" t="inlineStr">
        <is>
          <t>部分通過</t>
        </is>
      </c>
      <c r="I81" s="6" t="inlineStr">
        <is>
          <t>原本頂部膠囊分頁只放得下 6 頁，之後要加設備、客服、OTA、出廠、用量、審計等頁面放不下；新頁面要先有固定位置和樣子，再逐頁接上真實數據。</t>
        </is>
      </c>
      <c r="J81" s="6" t="inlineStr">
        <is>
          <t>frontend-nextjs/app/components/Admin/AdminDashboard.tsx
frontend-nextjs/app/components/Admin/adminPages.ts
frontend-nextjs/app/components/Admin/preview/（示例數據在 previewData.ts）</t>
        </is>
      </c>
      <c r="K81" s="6" t="inlineStr">
        <is>
          <t>6 個現有分頁（Model、Latency、Characters、IPs、Accounts、Admins）在新側欄照常使用，讀寫真實數據；內容管理員只看到 Characters 和 IPs；預覽頁和規劃頁只有超級管理員看到，並有橫幅寫明示例數據、按鈕不能用；每頁有 #hash 可直接打開；手機寬度沒有橫向捲動。</t>
        </is>
      </c>
      <c r="L81" s="6" t="inlineStr">
        <is>
          <t>① tsc 通過 ② 用略過登入的測試頁檢查超級管理員和內容管理員兩種視角、桌面和手機寬度、#hash 直接打開 ③ 用真實超級管理員帳號登入 /admin，逐頁確認讀到真實數據（Model 讀到 OpenRouter 模型目錄、Latency 有記錄、Characters 可編輯並保存）④ 用內容管理員帳號登入，側欄只有 Characters、IPs</t>
        </is>
      </c>
      <c r="M81" s="13" t="n"/>
      <c r="N81" s="6" t="inlineStr">
        <is>
          <t>① tsc --noEmit 通過 ② 略過登入的測試頁（另一份副本、獨立 .next）：超級管理員 15 頁、內容管理員只見 Characters／IPs；1360px 與 375px 均無橫向捲動（scrollWidth=clientWidth=375）；#audit 直接打開正確；③④ 未做：需真實帳號登入 /admin</t>
        </is>
      </c>
      <c r="O81" s="13" t="inlineStr">
        <is>
          <t>77fc4f7</t>
        </is>
      </c>
      <c r="P81" s="6" t="inlineStr">
        <is>
          <t>[2026-10-14] 新增</t>
        </is>
      </c>
    </row>
    <row r="82" ht="60" customHeight="1">
      <c r="A82" s="13" t="inlineStr">
        <is>
          <t>P1-13</t>
        </is>
      </c>
      <c r="B82" s="13" t="inlineStr">
        <is>
          <t>P1</t>
        </is>
      </c>
      <c r="C82" s="13" t="inlineStr">
        <is>
          <t>2 內測準備</t>
        </is>
      </c>
      <c r="D82" s="6" t="inlineStr">
        <is>
          <t>安全-權限</t>
        </is>
      </c>
      <c r="E82" s="6" t="inlineStr">
        <is>
          <t>PLACEHOLDER</t>
        </is>
      </c>
      <c r="F82" s="13" t="inlineStr">
        <is>
          <t>不適用</t>
        </is>
      </c>
      <c r="G82" s="13" t="inlineStr">
        <is>
          <t>未測試</t>
        </is>
      </c>
      <c r="I82" s="6" t="inlineStr">
        <is>
          <t>x</t>
        </is>
      </c>
      <c r="J82" s="6" t="n"/>
      <c r="K82" s="6" t="n"/>
      <c r="L82" s="6" t="n"/>
      <c r="M82" s="13" t="n"/>
      <c r="P82" s="6" t="inlineStr">
        <is>
          <t>[2026-10-14] 新增
[2026-10-14] 2026-10-14 新增任務時指令打錯而誤建的空白行，沒有內容，不代表任何工作。</t>
        </is>
      </c>
    </row>
    <row r="83" ht="172" customHeight="1">
      <c r="A83" s="13" t="inlineStr">
        <is>
          <t>P2-14</t>
        </is>
      </c>
      <c r="B83" s="13" t="inlineStr">
        <is>
          <t>P2</t>
        </is>
      </c>
      <c r="C83" s="13" t="inlineStr">
        <is>
          <t>2 內測準備</t>
        </is>
      </c>
      <c r="D83" s="6" t="inlineStr">
        <is>
          <t>運維-後台</t>
        </is>
      </c>
      <c r="E83" s="6" t="inlineStr">
        <is>
          <t>Admin 設備頁：每台玩具的狀態、韌體與基本操作</t>
        </is>
      </c>
      <c r="F83" s="13" t="inlineStr">
        <is>
          <t>已完成</t>
        </is>
      </c>
      <c r="G83" s="13" t="inlineStr">
        <is>
          <t>通過</t>
        </is>
      </c>
      <c r="H83" s="13" t="inlineStr">
        <is>
          <t>2026-10-15</t>
        </is>
      </c>
      <c r="I83" s="6" t="inlineStr">
        <is>
          <t>內部測試有 20 台在外面，玩具連不上時只能直接查資料庫或靠家長描述；NVS 被清空後要手動刪 device_secrets 那一行。數據大多已在 devices 表（last_seen_at、firmware_version、ota_failed_*、claimed_at），只是沒有地方顯示。</t>
        </is>
      </c>
      <c r="J83" s="6" t="inlineStr">
        <is>
          <t>frontend-nextjs/app/components/Admin/preview/DevicesPreview.tsx（換成真實數據）
devices、device_secrets 表
server/fastapi/server.py（在線狀態：device_wifi.snapshot 已有 online，需開一個只讀的內部接口）</t>
        </is>
      </c>
      <c r="K83" s="6" t="inlineStr">
        <is>
          <t>列出全部設備，可按 MAC、設備名、家長 email 搜尋，按狀態和韌體篩選；顯示在線／離線（取自語音伺服器）、上次上線、韌體版本、OTA 失敗版本、綁定帳號與時間、出廠鎖定的 IP；單台詳情可做「重置設備密鑰」「強制解綁」，兩者都要填原因並寫入審計記錄（P1-10）；不顯示任何對話、記憶或孩子資料（Q7）；只有超級管理員能讀。</t>
        </is>
      </c>
      <c r="L83" s="6" t="inlineStr">
        <is>
          <t>① 開發板 62:70 開機 → 1 分鐘內顯示在線；拔電 → 顯示離線 ② 對開發板「重置設備密鑰」→ device_secrets 該行刪除，板子重開後重新登記成功 ③「強制解綁」一台測試設備 → 設備回到配對狀態，審計表多一筆含原因 ④ 用內容管理員 JWT 讀 devices 管理接口被拒</t>
        </is>
      </c>
      <c r="M83" s="13" t="inlineStr">
        <is>
          <t>P1-10, P2-13</t>
        </is>
      </c>
      <c r="N83" s="6" t="inlineStr">
        <is>
          <t>真機 62:70（2026-10-15，分支 hw-test-1015 = dev+P2-16，-localall 1.7.0，本機網頁 3230 + 語音 7870）：① 開機 → 設備頁 Online、-67 dBm、1.7.0；板子停在 bootloader 約 38 秒後語音伺服器判離線（uvicorn ping 超時），頁面 0 台在線 ② 重置設備密鑰 → device_secrets 行刪除，板子重開印『Device secret issued and stored』並連上，行恢復 ③ 強制解綁 → 板子拿 202（配對碼 UKDM7N），語音伺服器拒絕連線；兩項審計各 1 筆含操作者與原因 ④ 內容管理員/anon → 42501（10-14 探測腳本）</t>
        </is>
      </c>
      <c r="O83" s="13" t="inlineStr">
        <is>
          <t>1d31bb0</t>
        </is>
      </c>
      <c r="P83" s="6" t="inlineStr">
        <is>
          <t>[2026-10-14] 新增
[2026-10-14] devices.ip_key 未有（R-38），IP 欄暫顯示「未鎖定」。部署要三件一起：migration、語音伺服器（/internal/devices_presence）、網頁。在線只代表有語音連線，睡眠和關機都算離線。
[2026-10-15] 頁面在分頁不可見時不輪詢（設計如此），可見時立即刷新。測完已用 SQL 把 62:70 綁回 multi-device-test@example.test。</t>
        </is>
      </c>
    </row>
    <row r="84" ht="88" customHeight="1">
      <c r="A84" s="13" t="inlineStr">
        <is>
          <t>P2-15</t>
        </is>
      </c>
      <c r="B84" s="13" t="inlineStr">
        <is>
          <t>P2</t>
        </is>
      </c>
      <c r="C84" s="13" t="inlineStr">
        <is>
          <t>3 封閉內測</t>
        </is>
      </c>
      <c r="D84" s="6" t="inlineStr">
        <is>
          <t>運維-後台</t>
        </is>
      </c>
      <c r="E84" s="6" t="inlineStr">
        <is>
          <t>Admin 總覽頁：在線、用量、成本與待處理事項</t>
        </is>
      </c>
      <c r="F84" s="13" t="inlineStr">
        <is>
          <t>未開始</t>
        </is>
      </c>
      <c r="G84" s="13" t="inlineStr">
        <is>
          <t>未測試</t>
        </is>
      </c>
      <c r="I84" s="6" t="inlineStr">
        <is>
          <t>每天要逐頁看才知道有沒有問題；內部測試期間需要一眼看到在線數、今日成本和要處理的設備。</t>
        </is>
      </c>
      <c r="J84" s="6" t="inlineStr">
        <is>
          <t>frontend-nextjs/app/components/Admin/preview/OverviewPreview.tsx（換成真實數據）</t>
        </is>
      </c>
      <c r="K84" s="6" t="inlineStr">
        <is>
          <t>顯示：在線玩具／已綁定、今日對話輪數、今日成本與每台成本、待處理數；近 14 天活躍設備與輪數趨勢；韌體版本分佈；待處理清單（OTA 回滾、用量異常、供應商錯誤率），每項可跳到對應頁；最近管理操作取自審計記錄。所有數字與設備頁、用量頁一致。</t>
        </is>
      </c>
      <c r="L84" s="6" t="inlineStr">
        <is>
          <t>用 SQL 直接算同一天的在線數、輪數、成本和韌體分佈，與總覽頁數字逐項對照一致；製造一台 OTA 回滾（ota_failed_version）→ 出現在待處理並能跳到該設備</t>
        </is>
      </c>
      <c r="M84" s="13" t="inlineStr">
        <is>
          <t>P2-14, P2-09</t>
        </is>
      </c>
      <c r="P84" s="6" t="inlineStr">
        <is>
          <t>[2026-10-14] 新增</t>
        </is>
      </c>
    </row>
    <row r="85" ht="409" customHeight="1">
      <c r="A85" s="13" t="inlineStr">
        <is>
          <t>P2-16</t>
        </is>
      </c>
      <c r="B85" s="13" t="inlineStr">
        <is>
          <t>P2</t>
        </is>
      </c>
      <c r="C85" s="13" t="inlineStr">
        <is>
          <t>2 內測準備</t>
        </is>
      </c>
      <c r="D85" s="6" t="inlineStr">
        <is>
          <t>運維-OTA</t>
        </is>
      </c>
      <c r="E85" s="6" t="inlineStr">
        <is>
          <t>OTA 分批推送與後台發佈頁</t>
        </is>
      </c>
      <c r="F85" s="13" t="inlineStr">
        <is>
          <t>已完成</t>
        </is>
      </c>
      <c r="G85" s="13" t="inlineStr">
        <is>
          <t>通過</t>
        </is>
      </c>
      <c r="H85" s="13" t="inlineStr">
        <is>
          <t>2026-10-15</t>
        </is>
      </c>
      <c r="I85" s="6" t="inlineStr">
        <is>
          <t>現在設為 current 的版本會一次推給該板型的所有設備；3,000 台出貨後，一個壞版本會同時推給全部設備。發佈只能在 Mac 上用 release_firmware.py，要手動貼 service key。分批推送只改伺服器決定哪台收到 ota，不用改韌體，所以不受 11/27 韌體定版的時限限制，但必須在出貨後第一次 OTA 之前完成。</t>
        </is>
      </c>
      <c r="J85" s="6" t="inlineStr">
        <is>
          <t>frontend-nextjs/app/components/Admin/preview/OtaPreview.tsx（換成真實數據）
frontend-nextjs/app/api/generate_auth_token/route.ts（回傳 ota 的地方）
firmware_releases 表、firmware-arduino/tools/release_firmware.py</t>
        </is>
      </c>
      <c r="K85" s="6" t="inlineStr">
        <is>
          <t>後台可上傳韌體（伺服器算 SHA-256、寫 firmware_releases）、填說明、設為 current；推送分階段：白名單 MAC → 10% → 50% → 100%，按 MAC 雜湊穩定分組；回滾率超過 5% 即自動暫停（2026-10-14 拿走「同一台重啟 3 次」，見 P2-19）；顯示每個版本已更新、回滾台數與回滾設備清單；顯示 app 分區用量（P2-12）；每個發佈操作寫入審計記錄。</t>
        </is>
      </c>
      <c r="L85" s="6" t="inlineStr">
        <is>
          <t>本機 Supabase 模擬 20 台：① 10% 階段只有約 2 台拿到 ota，重複請求結果不變 ② 讓 2 台回報 failed_version → 自動暫停，其餘不再拿到 ota ③ 推到 100% 全部拿到 ④ 開發板 62:70 實機走一次白名單階段並確認新版本 ⑤ 審計表有每次階段變更</t>
        </is>
      </c>
      <c r="M85" s="13" t="inlineStr">
        <is>
          <t>P0-13, P2-14, P1-10, P2-17, P2-18, P2-19, P2-20, P2-21</t>
        </is>
      </c>
      <c r="N85" s="6" t="inlineStr">
        <is>
          <t>④ 真機 62:70（2026-10-15）：USB 刷 1.7.0（開機印 aibuddy-build;kind=dev;…;version=1.7.0）→ release_firmware.py publish --dev 1.7.1 → 後台白名單加 62:70、改白名單階段、設為 current → 按 BOOT 喚醒：取 token 200、下載 12.8s、重開進 app1，09:39:36 連上語音伺服器；09:42 重開 → 『Firmware 1.7.1 on app1』無 probation、Up to date；頁面『Rolling out · Whitelist』運行 1 台、回滾 0；審計 5 筆（發佈、白名單、階段、1.6.2 取消 current、1.7.1 設 current）。①②③⑤ 見 P2-17～P2-21 模擬 20 台</t>
        </is>
      </c>
      <c r="O85" s="13" t="inlineStr">
        <is>
          <t>e0d7ac6</t>
        </is>
      </c>
      <c r="P85" s="6" t="inlineStr">
        <is>
          <t>[2026-10-14] 新增
[2026-10-14] 2026-10-14 開分支 p2-16-ota-rollout（worktree ../aibuddy-p216，從 dev cac98aa）；拆成 P2-17～P2-21 五項子任務，本項的測試方法即整體驗收（含 62:70 實機白名單）。
[2026-10-14] 2026-10-14 用戶決定提前到第 2 階段，現在開始做
[2026-10-14] 2026-10-14 用戶決定拿走「同一台重啟 3 次即暫停」，原因見 P2-19
[2026-10-14] 部署清單：① migrations 20261014190000、200000、210000、220000（依序，在 10-14 release 的 7 個之後）② 網頁 image ③ nginx 網頁 location 加 client_max_body_size 16m，curl 上傳 2MB 不得 413 ④ 韌體 BUILD_INFO 隨下一版韌體出，之前的版本仍用 release_firmware.py 發佈。分支 p2-16-ota-rollout 6 個 commit，未合併 dev、未推送
[2026-10-15] 附帶：一開始本機 current 是 1.6.2（以舊 IP/端口編譯），1.7.0 開機就被推 1.6.2，裝上後連不上，試用期內重開即回到 1.7.0（非崩潰，判定會再試），回滾路徑實機正常。之後用 SQL 暫停 1.6.2。用腳本發佈的新版本要重新載入 OTA 頁才出現。</t>
        </is>
      </c>
    </row>
    <row r="86" ht="130" customHeight="1">
      <c r="A86" s="13" t="inlineStr">
        <is>
          <t>R-39</t>
        </is>
      </c>
      <c r="B86" s="13" t="inlineStr">
        <is>
          <t>R</t>
        </is>
      </c>
      <c r="C86" s="13" t="inlineStr">
        <is>
          <t>3 封閉內測</t>
        </is>
      </c>
      <c r="D86" s="6" t="inlineStr">
        <is>
          <t>生產</t>
        </is>
      </c>
      <c r="E86" s="6" t="inlineStr">
        <is>
          <t>Admin 出廠登記頁：匯入 MAC 清單、指定公仔、查看自檢結果</t>
        </is>
      </c>
      <c r="F86" s="13" t="inlineStr">
        <is>
          <t>未開始</t>
        </is>
      </c>
      <c r="G86" s="13" t="inlineStr">
        <is>
          <t>未測試</t>
        </is>
      </c>
      <c r="I86" s="6" t="inlineStr">
        <is>
          <t>3,000 台的 MAC、公仔和 IP 不可能逐台手動改資料庫；工位登記結果（R-10）要有地方看，才知道哪批哪台沒通過。要在 12/14 量產前跟工位腳本一起用小批量試產跑通。</t>
        </is>
      </c>
      <c r="J86" s="6" t="inlineStr">
        <is>
          <t>frontend-nextjs/app/components/Admin/preview/FactoryPreview.tsx（換成真實數據）
新表：出廠批次與每台 QC 記錄
R-10 工位腳本的登記接口</t>
        </is>
      </c>
      <c r="K86" s="6" t="inlineStr">
        <is>
          <t>可匯入 Spotpear 的 MAC 清單 CSV（MAC、批次、日期），重複或格式錯誤的行跳過並列出；每批顯示已匯入、已寫密鑰、自檢通過、自檢失敗、未開始的數量；可整批為未寫密鑰的板子指定公仔（IP）；顯示工位回傳的每台自檢結果（咪、喇叭、燈、按鍵、Wi-Fi）與失敗原因；寫入密鑰後公仔鎖定，只有超級管理員能在此改，家長端不能改（R-38）；可匯出失敗清單；只看到分配給本部署的板子；匯入和指定都寫入審計記錄。</t>
        </is>
      </c>
      <c r="L86" s="6" t="inlineStr">
        <is>
          <t>① 匯入 300 行 CSV，其中 3 行重複、1 行格式錯 → 新增 296 行並列出 4 行 ② 為 20 台指定公仔後，工位腳本處理其中 10 台 → 進度與 QC 記錄正確，已寫密鑰的不能再改公仔 ③ 匯出失敗清單內容與 QC 記錄一致</t>
        </is>
      </c>
      <c r="M86" s="13" t="inlineStr">
        <is>
          <t>R-38, P1-10</t>
        </is>
      </c>
      <c r="P86" s="6" t="inlineStr">
        <is>
          <t>[2026-10-14] 新增</t>
        </is>
      </c>
    </row>
    <row r="87" ht="116" customHeight="1">
      <c r="A87" s="13" t="inlineStr">
        <is>
          <t>R-40</t>
        </is>
      </c>
      <c r="B87" s="13" t="inlineStr">
        <is>
          <t>R</t>
        </is>
      </c>
      <c r="C87" s="13" t="inlineStr">
        <is>
          <t>4 量產出貨</t>
        </is>
      </c>
      <c r="D87" s="6" t="inlineStr">
        <is>
          <t>營運</t>
        </is>
      </c>
      <c r="E87" s="6" t="inlineStr">
        <is>
          <t>Admin 客服查詢頁：查帳號、名下設備與最近事件</t>
        </is>
      </c>
      <c r="F87" s="13" t="inlineStr">
        <is>
          <t>未開始</t>
        </is>
      </c>
      <c r="G87" s="13" t="inlineStr">
        <is>
          <t>未測試</t>
        </is>
      </c>
      <c r="I87" s="6" t="inlineStr">
        <is>
          <t>家長來電時要能用一個搜尋找到帳號和玩具；R-11 要求的報修、診斷、換機流程現在沒有工具，只能直接改資料庫。</t>
        </is>
      </c>
      <c r="J87" s="6" t="inlineStr">
        <is>
          <t>frontend-nextjs/app/components/Admin/preview/SupportPreview.tsx（換成真實數據）
auth.users（service role，只在伺服器端讀）
devices、users 表</t>
        </is>
      </c>
      <c r="K87" s="6" t="inlineStr">
        <is>
          <t>可用 email、MAC 或設備名稱後四位查到帳號；顯示註冊時間、登入方式、家長鎖與使用上限設定、名下設備（狀態、韌體、上次上線）和最近的系統事件（連線失敗、OTA、綁定、Wi-Fi 變更）；動作：解綁、換機（解綁舊機、綁新機、記憶搬到新設備，按 P1-12 的定案）、重發登入驗證碼、刪除帳號及資料；每個動作要填原因並寫入審計記錄；不顯示對話、記憶、孩子的性格描述（Q7）。</t>
        </is>
      </c>
      <c r="L87" s="6" t="inlineStr">
        <is>
          <t>按 R-11 演練一次：用測試帳號模擬家長報修 → 在客服頁找到帳號和設備、看到事件 → 換機到另一台測試設備，新設備保留記憶 → 審計表有每一步；刪除測試帳號後，其對話、記憶和綁定都已刪除</t>
        </is>
      </c>
      <c r="M87" s="13" t="inlineStr">
        <is>
          <t>P2-14, P1-10, P1-12</t>
        </is>
      </c>
      <c r="P87" s="6" t="inlineStr">
        <is>
          <t>[2026-10-14] 新增</t>
        </is>
      </c>
    </row>
    <row r="88" ht="74" customHeight="1">
      <c r="A88" s="13" t="inlineStr">
        <is>
          <t>P1-14</t>
        </is>
      </c>
      <c r="B88" s="13" t="inlineStr">
        <is>
          <t>P1</t>
        </is>
      </c>
      <c r="C88" s="13" t="inlineStr">
        <is>
          <t>3 封閉內測</t>
        </is>
      </c>
      <c r="D88" s="6" t="inlineStr">
        <is>
          <t>兒童安全</t>
        </is>
      </c>
      <c r="E88" s="6" t="inlineStr">
        <is>
          <t>Admin 內容安全頁：審核事件只按類別統計</t>
        </is>
      </c>
      <c r="F88" s="13" t="inlineStr">
        <is>
          <t>未開始</t>
        </is>
      </c>
      <c r="G88" s="13" t="inlineStr">
        <is>
          <t>未測試</t>
        </is>
      </c>
      <c r="I88" s="6" t="inlineStr">
        <is>
          <t>P1-01 審核層會記錄攔截事件，但沒有地方看；某台設備或某個角色攔截突然變多時沒人知道。</t>
        </is>
      </c>
      <c r="J88" s="6" t="inlineStr">
        <is>
          <t>frontend-nextjs/app/components/Admin/adminPages.ts（目前是規劃頁 safety）
P1-01 的審核事件表</t>
        </is>
      </c>
      <c r="K88" s="6" t="inlineStr">
        <is>
          <t>按日顯示輸入和回覆被攔截的次數，只按類別（暴力、性、個人資料、自我傷害等），不顯示原文（Q7）；可按角色和設備看攔截率；單台設備單日攔截數超過門檻時出現在總覽的待處理；只有超級管理員能讀。</t>
        </is>
      </c>
      <c r="L88" s="6" t="inlineStr">
        <is>
          <t>在測試設備上觸發每個類別各 3 次 → 頁面計數與審核事件表一致；資料庫和頁面回應中都找不到觸發用的原文</t>
        </is>
      </c>
      <c r="M88" s="13" t="inlineStr">
        <is>
          <t>P1-01, P2-13</t>
        </is>
      </c>
      <c r="P88" s="6" t="inlineStr">
        <is>
          <t>[2026-10-14] 新增</t>
        </is>
      </c>
    </row>
    <row r="89" ht="116" customHeight="1">
      <c r="A89" s="13" t="inlineStr">
        <is>
          <t>R-41</t>
        </is>
      </c>
      <c r="B89" s="13" t="inlineStr">
        <is>
          <t>R</t>
        </is>
      </c>
      <c r="C89" s="13" t="inlineStr">
        <is>
          <t>2 內測準備</t>
        </is>
      </c>
      <c r="D89" s="6" t="inlineStr">
        <is>
          <t>產品</t>
        </is>
      </c>
      <c r="E89" s="6" t="inlineStr">
        <is>
          <t>App 顯示玩具電量狀態（低電量提示）</t>
        </is>
      </c>
      <c r="F89" s="13" t="inlineStr">
        <is>
          <t>已完成</t>
        </is>
      </c>
      <c r="G89" s="13" t="inlineStr">
        <is>
          <t>通過</t>
        </is>
      </c>
      <c r="H89" s="13" t="inlineStr">
        <is>
          <t>2026-10-14</t>
        </is>
      </c>
      <c r="I89" s="6" t="inlineStr">
        <is>
          <t>家長在 App 看不到玩具快沒電，只能靠玩具自己播提醒；玩具多數時間休眠，伺服器記憶體裡的狀態一重啟就沒了。</t>
        </is>
      </c>
      <c r="J89" s="6" t="inlineStr">
        <is>
          <t>firmware-arduino/src/Audio.cpp（reportPower）；server/fastapi/device_power.py；supabase/migrations（devices.battery_*）；frontend-nextjs 設備頁</t>
        </is>
      </c>
      <c r="K89" s="6" t="inlineStr">
        <is>
          <t>玩具每次連上語音伺服器並收到 auth 後上報一次電量狀態，狀態改變時再報；伺服器寫入 devices.battery_low / battery_percent / battery_charging / battery_at；App 設備頁顯示「電量正常／電量低，請充電」和最後更新時間，玩具離線時仍顯示最後已知狀態；沒有電量檢測的板不顯示電量。Spotpear 板只有高低兩態（R-16 改板後才有百分比）。</t>
        </is>
      </c>
      <c r="L89" s="6" t="inlineStr">
        <is>
          <t>① 單元測試：伺服器只接受 power 訊息的合法欄位並寫入對應 MAC 的 devices 行 ② 62:70 用 SUPPLY_LOW_RATIO_OVERRIDE 強制低電量：本地 DB battery_low=true、App 顯示電量低 ③ 改回正常固件重連：battery_low=false、App 顯示正常 ④ 玩具斷線後 App 仍顯示最後狀態和時間 ⑤ 其他用戶讀不到這幾欄（RLS）</t>
        </is>
      </c>
      <c r="M89" s="13" t="n"/>
      <c r="N89" s="6" t="inlineStr">
        <is>
          <t>① pytest 33 passed；真 PATCH 本地 Supabase ② 62:70 刷 p212+R-41 強制低電 build（SUPPLY_LOW_RATIO_OVERRIDE=1.05）→ 串口 [WSc] power low:true，本地 DB battery_low=t ③ 刷回正常 1.6.2 → low:false，DB=f ④ App 讀 DB：低電紅標+Please charge+更新時間、72% 充電中、未上報不顯示 ⑤ 他人帳號 0 行、authenticated UPDATE 被拒。62:70 已還原為原 p212 build</t>
        </is>
      </c>
      <c r="O89" s="13" t="inlineStr">
        <is>
          <t>42b4437</t>
        </is>
      </c>
      <c r="P89" s="6" t="inlineStr">
        <is>
          <t>[2026-10-14] 新增
[2026-10-14] 2026-10-14：rebase 後合併入 dev（42b4437）。migration 改名 20261014153000_device_battery.sql，避開同時間戳的 admin_accounts；powerSent 重置改到收到 auth 時。未部署。</t>
        </is>
      </c>
    </row>
    <row r="90" ht="256" customHeight="1">
      <c r="A90" s="13" t="inlineStr">
        <is>
          <t>P2-17</t>
        </is>
      </c>
      <c r="B90" s="13" t="inlineStr">
        <is>
          <t>P2</t>
        </is>
      </c>
      <c r="C90" s="13" t="inlineStr">
        <is>
          <t>2 內測準備</t>
        </is>
      </c>
      <c r="D90" s="6" t="inlineStr">
        <is>
          <t>運維-OTA</t>
        </is>
      </c>
      <c r="E90" s="6" t="inlineStr">
        <is>
          <t>P2-16 ① 分批推送的數據表：推送階段、白名單、每台安裝結果</t>
        </is>
      </c>
      <c r="F90" s="13" t="inlineStr">
        <is>
          <t>已完成</t>
        </is>
      </c>
      <c r="G90" s="13" t="inlineStr">
        <is>
          <t>通過</t>
        </is>
      </c>
      <c r="H90" s="13" t="inlineStr">
        <is>
          <t>2026-10-14</t>
        </is>
      </c>
      <c r="I90" s="6" t="inlineStr">
        <is>
          <t>firmware_releases 只有 is_current 一個開關，沒地方記推到哪個階段、是否暫停，也沒有每台對每個版本的安裝記錄，自動暫停和後台統計都無從算起。</t>
        </is>
      </c>
      <c r="J90" s="6" t="inlineStr">
        <is>
          <t>supabase/migrations/（新 migration）、firmware_releases、devices</t>
        </is>
      </c>
      <c r="K90" s="6" t="inlineStr">
        <is>
          <t>firmware_releases 加推送狀態（階段：白名單／10%／50%／100%、白名單 MAC、暫停與原因、階段變更時間）；新表記錄每台對每個版本：首次下發、下發次數、確認（回報版本＝該版）、回滾（failed_version＝該版）；只有超級管理員能讀，寫入只經 service role 或帶審計的 admin RPC；舊的 is_current 發佈照常可用（視為 100%）。</t>
        </is>
      </c>
      <c r="L90" s="6" t="inlineStr">
        <is>
          <t>本機 Supabase BEGIN/ROLLBACK 套用兩次無錯；經 REST 用 GoTrue 真實登入：anon 讀新表 → 42501，內容管理員讀新表 → 0 行（RLS，與 firmware_releases 一致），anon／內容管理員／超管寫新表、改發佈階段、呼叫 ota_note_* → 42501，超管可讀；現有 release_firmware.py promote 後 current 版本照常被 token 路徑的查詢選中</t>
        </is>
      </c>
      <c r="M90" s="13" t="inlineStr">
        <is>
          <t>P0-13</t>
        </is>
      </c>
      <c r="N90" s="6" t="inlineStr">
        <is>
          <t>migration 20261014190000 BEGIN/ROLLBACK 套用兩次無錯並已套用本機；行為：預設 100%、promote 記 stage_changed_at，7 種壞值（25%、小寫/空字串/NULL MAC、暫停缺原因等）全被 check 擋；ota_note_offer 1→2→3，report 正確標 running/failed、別板型不影響，刪發佈連帶刪記錄；審計 5 筆含 'test-board 9.9.9' 標籤。REST 13/13：超管可讀、內容管理員 0 行、anon 42501，三種身份寫入/改階段/呼叫 ota_note_offer 皆 42501。release_firmware.py promote spotpear-ai-toy 1.6.2 成功，token 查詢仍選 1.6.2，審計記 2 筆（actor 空＝service role）</t>
        </is>
      </c>
      <c r="O90" s="13" t="inlineStr">
        <is>
          <t>c510e02</t>
        </is>
      </c>
      <c r="P90" s="6" t="inlineStr">
        <is>
          <t>[2026-10-14] 新增：2026-10-14 分支 p2-16-ota-rollout（worktree ../aibuddy-p216）
[2026-10-14] 2026-10-14 用戶決定提前到第 2 階段，現在開始做
[2026-10-14] 測試方法修正：內容管理員讀取在 RLS 下是 200 + 0 行而非 42501，保護效果相同（看不到任何行），寫入一律 42501
[2026-10-14] commit 在分支 p2-16-ota-rollout（rebase 後 9f44e32 → 8675970），未合併到 dev、未部署
[2026-10-14] commit 再次 rebase 後為 c510e02（分支 p2-16-ota-rollout）。之後分支不再為追蹤表 commit rebase，hash 到合併時才會變</t>
        </is>
      </c>
    </row>
    <row r="91" ht="214" customHeight="1">
      <c r="A91" s="13" t="inlineStr">
        <is>
          <t>P2-18</t>
        </is>
      </c>
      <c r="B91" s="13" t="inlineStr">
        <is>
          <t>P2</t>
        </is>
      </c>
      <c r="C91" s="13" t="inlineStr">
        <is>
          <t>2 內測準備</t>
        </is>
      </c>
      <c r="D91" s="6" t="inlineStr">
        <is>
          <t>運維-OTA</t>
        </is>
      </c>
      <c r="E91" s="6" t="inlineStr">
        <is>
          <t>P2-16 ② 按 MAC 雜湊穩定分組決定哪台收到 ota</t>
        </is>
      </c>
      <c r="F91" s="13" t="inlineStr">
        <is>
          <t>已完成</t>
        </is>
      </c>
      <c r="G91" s="13" t="inlineStr">
        <is>
          <t>通過</t>
        </is>
      </c>
      <c r="H91" s="13" t="inlineStr">
        <is>
          <t>2026-10-14</t>
        </is>
      </c>
      <c r="I91" s="6" t="inlineStr">
        <is>
          <t>現在 current 版本一次推給同板型全部設備，3,000 台出貨後一個壞版本會同時打到所有人。</t>
        </is>
      </c>
      <c r="J91" s="6" t="inlineStr">
        <is>
          <t>frontend-nextjs/lib/ota.ts（recordReportAndDecide）、frontend-nextjs/app/api/generate_auth_token/route.ts</t>
        </is>
      </c>
      <c r="K91" s="6" t="inlineStr">
        <is>
          <t>白名單階段只有名單內 MAC 拿到 ota；10%／50%／100% 按 MAC 雜湊（加版本作鹽）穩定分組，同一台重複請求結果不變，升階段時已在組內的不會掉出；暫停時一律不下發；每次下發與結果寫入 ① 的記錄；不用改韌體。</t>
        </is>
      </c>
      <c r="L91" s="6" t="inlineStr">
        <is>
          <t>單元測試：10,000 個隨機 MAC 在 10%／50% 的比例誤差 &lt; 1 個百分點，同 MAC 重複呼叫結果一致；本機腳本模擬 20 台 POST /api/generate_auth_token：10% 階段約 2 台拿到 ota，重複請求名單不變，100% 全部拿到</t>
        </is>
      </c>
      <c r="M91" s="13" t="inlineStr">
        <is>
          <t>P2-17</t>
        </is>
      </c>
      <c r="N91" s="6" t="inlineStr">
        <is>
          <t>node --test lib/otaRollout.test.mjs 6/6：10,000 隨機 MAC 在 10%/50% 誤差 &lt; 1 個百分點、同 MAC（含大小寫/空白）結果一致、升階段只增不減、白名單各階段都在、不同版本選不同的 10%。tsc --noEmit 通過。分支 dev server（3216）+ 本機 Supabase 模擬 20 台（板型 p218-sim，連跑兩次 9/9）：白名單階段只有 1 台、重複不變；10% 拿到的正是雜湊預測的那組（2–5 台含白名單），重複不變；50% 包含 10% 全部；暫停 → 0 台且下載映像 404，恢復 → 200；100% → 除已更新和已回滾的 2 台外 18 台；每台下發次數與記錄一致；運行中/已回滾正確標記；審計 6 筆對應 6 次變更。真 spotpear-ai-toy（預設 100%）回報 1.6.1 → 仍拿到 1.6.2。測試數據已清除</t>
        </is>
      </c>
      <c r="O91" s="13" t="inlineStr">
        <is>
          <t>e57529d</t>
        </is>
      </c>
      <c r="P91" s="6" t="inlineStr">
        <is>
          <t>[2026-10-14] 新增
[2026-10-14] 2026-10-14 用戶決定提前到第 2 階段，現在開始做</t>
        </is>
      </c>
    </row>
    <row r="92" ht="214" customHeight="1">
      <c r="A92" s="13" t="inlineStr">
        <is>
          <t>P2-19</t>
        </is>
      </c>
      <c r="B92" s="13" t="inlineStr">
        <is>
          <t>P2</t>
        </is>
      </c>
      <c r="C92" s="13" t="inlineStr">
        <is>
          <t>2 內測準備</t>
        </is>
      </c>
      <c r="D92" s="6" t="inlineStr">
        <is>
          <t>運維-OTA</t>
        </is>
      </c>
      <c r="E92" s="6" t="inlineStr">
        <is>
          <t>P2-16 ③ 回滾過多時自動暫停推送</t>
        </is>
      </c>
      <c r="F92" s="13" t="inlineStr">
        <is>
          <t>已完成</t>
        </is>
      </c>
      <c r="G92" s="13" t="inlineStr">
        <is>
          <t>通過</t>
        </is>
      </c>
      <c r="H92" s="13" t="inlineStr">
        <is>
          <t>2026-10-14</t>
        </is>
      </c>
      <c r="I92" s="6" t="inlineStr">
        <is>
          <t>壞版本推到 10% 後沒人盯著就會繼續推；板子在試用期內斷電重啟會重試安裝（最多 2 次），伺服器要從同一台反覆下發看出問題。</t>
        </is>
      </c>
      <c r="J92" s="6" t="inlineStr">
        <is>
          <t>frontend-nextjs/lib/ota.ts、① 的每台記錄</t>
        </is>
      </c>
      <c r="K92" s="6" t="inlineStr">
        <is>
          <t>已下發的設備中回滾率 &gt; 5% 即自動暫停該版本並記下原因（台數少的階段第一台回滾就暫停）；暫停後其餘設備不再拿到 ota、映像不再提供下載；已在運行該版本的設備不受影響；自動暫停寫入審計記錄（操作者為空、paused_by 為空、原因以 Auto-paused 開頭）；只能由超級管理員恢復，恢復後要有新的回滾才會再判斷。</t>
        </is>
      </c>
      <c r="L92" s="6" t="inlineStr">
        <is>
          <t>本機模擬 20 台（分支 dev server + 本機 Supabase）：100% 階段 1 台回滾（5%）不暫停；第 2 台回滾（10%）→ 暫停、原因含回滾率，其餘 18 台不再拿到 ota；已運行新版的設備照常；審計多一筆、actor 為空；恢復後保持恢復，第 3 台回滾再暫停；白名單 2 台中 1 台回滾 → 立即暫停；anon 呼叫 ota_maybe_pause → 42501</t>
        </is>
      </c>
      <c r="M92" s="13" t="inlineStr">
        <is>
          <t>P2-18</t>
        </is>
      </c>
      <c r="N92" s="6" t="inlineStr">
        <is>
          <t>migration 20261014200000 BEGIN/ROLLBACK 套用兩次無錯並已套用本機。模擬 20 台連跑兩次 12/12：1/20 回滾不暫停、其餘 18 台照常；2/20 → 'Auto-paused: 2 of 20 boards rolled back (10%)'，其餘 0 台拿到 ota；已運行的設備記為 running 且不再下發；審計 1 筆 actor 空；恢復後 17 台拿到、保持恢復，第 3 台回滾 → 'Auto-paused: 3 of 20 (15%)'；白名單 2 台中 1 台回滾 → 50% 立即暫停、另一台不再下發；anon 呼叫 ota_maybe_pause → 401/42501。測試數據已清除，spotpear-ai-toy 1.6.2 仍 100% 未暫停</t>
        </is>
      </c>
      <c r="O92" s="13" t="inlineStr">
        <is>
          <t>9500d50</t>
        </is>
      </c>
      <c r="P92" s="6" t="inlineStr">
        <is>
          <t>[2026-10-14] 新增
[2026-10-14] 2026-10-14 用戶決定提前到第 2 階段，現在開始做
[2026-10-14] 2026-10-14 用戶決定拿走「同一台下發/下載 3 次未確認即暫停」：實測中途斷開的下載 3 次有 1 次被當成完整下載（伺服器只知道寫進緩衝區），線上映像經 nginx 和 Cloudflare 會被整個先收下，伺服器永遠看到下載完成；按下發次數計會把網絡不穩（C3 TLS）誤判成壞版本。韌體已把崩潰和試用期內斷電重裝 2 次（OTA_MAX_TRIES）都回報成回滾，由回滾率規則處理。</t>
        </is>
      </c>
    </row>
    <row r="93" ht="270" customHeight="1">
      <c r="A93" s="13" t="inlineStr">
        <is>
          <t>P2-20</t>
        </is>
      </c>
      <c r="B93" s="13" t="inlineStr">
        <is>
          <t>P2</t>
        </is>
      </c>
      <c r="C93" s="13" t="inlineStr">
        <is>
          <t>2 內測準備</t>
        </is>
      </c>
      <c r="D93" s="6" t="inlineStr">
        <is>
          <t>運維-OTA</t>
        </is>
      </c>
      <c r="E93" s="6" t="inlineStr">
        <is>
          <t>P2-16 ④ 從後台上傳與發佈韌體（取代手貼 service key）</t>
        </is>
      </c>
      <c r="F93" s="13" t="inlineStr">
        <is>
          <t>已完成</t>
        </is>
      </c>
      <c r="G93" s="13" t="inlineStr">
        <is>
          <t>通過</t>
        </is>
      </c>
      <c r="H93" s="13" t="inlineStr">
        <is>
          <t>2026-10-14</t>
        </is>
      </c>
      <c r="I93" s="6" t="inlineStr">
        <is>
          <t>發佈只能在 Mac 上跑 release_firmware.py，還要在 Terminal 貼伺服器上的 service key；多品牌後每套各要一次。</t>
        </is>
      </c>
      <c r="J93" s="6" t="inlineStr">
        <is>
          <t>frontend-nextjs/app/api/admin/（新的上傳 route）、firmware storage bucket、firmware-arduino/tools/release_firmware.py</t>
        </is>
      </c>
      <c r="K93" s="6" t="inlineStr">
        <is>
          <t>只有超級管理員能上傳；伺服器自己算 SHA-256 與大小，檢查是 ESP32 映像、大小不超過 app 分區（P2-12）、版本號沒發佈過、不是開發版；寫入 firmware storage 和 firmware_releases（含說明），上傳後狀態為草稿，不會下發；上傳、刪除草稿都寫審計記錄；release_firmware.py 照常可用。</t>
        </is>
      </c>
      <c r="L93" s="6" t="inlineStr">
        <is>
          <t>本機：超管上傳 spotpear-ai-toy build → firmware_releases 新行 SHA-256 與本地 shasum -a 256 一致，任何設備都還拿不到 ota；重複版本、超出分區、非 ESP32 檔、localall build 各被拒；內容管理員上傳 → 403；審計表有上傳記錄</t>
        </is>
      </c>
      <c r="M93" s="13" t="inlineStr">
        <is>
          <t>P2-17, P1-10</t>
        </is>
      </c>
      <c r="N93" s="6" t="inlineStr">
        <is>
          <t>node --test lib/firmwareImage.test.mjs 8/8（合成映像：dev build、無標記、未知板、晶片不符、非映像、截斷/損壞、超 4MB 拒；超 2MB 只警告）。分支 dev server + 本機 Supabase 端到端 16/16（GoTrue 真實登入的 cookie）：超管上傳 9.9.0 release build → 201 草稿（is_current f、rollout 0%），DB SHA-256 = 檔案、storage 原樣；審計 insert 記該超管；設備仍只拿到 current 1.6.2；已有 1.0.2 → 409；localall → 422 dev build；4MB+16 → 422；9MB → 413；PNG → 422；舊 1.6.1 映像（無標記）→ 422 指向 release_firmware.py；內容管理員上傳/刪除 → 403；未登入 → 401；刪 current → 409；超管刪草稿 → 行和映像都刪、審計 delete 記該超管。release_firmware.py list 照常。測試帳號與數據已清除</t>
        </is>
      </c>
      <c r="O93" s="13" t="inlineStr">
        <is>
          <t>ebe8dc9</t>
        </is>
      </c>
      <c r="P93" s="6" t="inlineStr">
        <is>
          <t>[2026-10-14] 新增
[2026-10-14] 2026-10-14 用戶決定提前到第 2 階段，現在開始做
[2026-10-14] 做法：韌體 OTA.cpp 加 BUILD_INFO 字串（kind=release/dev;board;version），伺服器從映像讀板型和版本，不用手填；DEV_MODE/LOCAL_WS_HOST/LOCAL_BACKEND_HOST/AUDIO_SELFTEST 為 dev。只有加了標記之後編譯的韌體能從後台上傳，之前的仍用 release_firmware.py。部署注意：① 網頁的 nginx location 很可能仍是預設 1MB 上限（/supabase-api/ 已改 16m），上傳 1.6MB 映像會 413，部署時要加 client_max_body_size 16m 並用 curl 驗證 ② 依賴 P1-10 的審計表（本機已有，線上隨 10-14 release 部署）</t>
        </is>
      </c>
    </row>
    <row r="94" ht="116" customHeight="1">
      <c r="A94" s="13" t="inlineStr">
        <is>
          <t>P2-21</t>
        </is>
      </c>
      <c r="B94" s="13" t="inlineStr">
        <is>
          <t>P2</t>
        </is>
      </c>
      <c r="C94" s="13" t="inlineStr">
        <is>
          <t>2 內測準備</t>
        </is>
      </c>
      <c r="D94" s="6" t="inlineStr">
        <is>
          <t>運維-OTA</t>
        </is>
      </c>
      <c r="E94" s="6" t="inlineStr">
        <is>
          <t>P2-16 ⑤ 後台 OTA 頁換成真實數據與操作</t>
        </is>
      </c>
      <c r="F94" s="13" t="inlineStr">
        <is>
          <t>已完成</t>
        </is>
      </c>
      <c r="G94" s="13" t="inlineStr">
        <is>
          <t>通過</t>
        </is>
      </c>
      <c r="H94" s="13" t="inlineStr">
        <is>
          <t>2026-10-15</t>
        </is>
      </c>
      <c r="I94" s="6" t="inlineStr">
        <is>
          <t>OTA 頁現在是示例數據（OtaPreview），看不到哪個版本推到哪、誰回滾了。</t>
        </is>
      </c>
      <c r="J94" s="6" t="inlineStr">
        <is>
          <t>frontend-nextjs/app/components/Admin/preview/OtaPreview.tsx → 新的 OtaTab.tsx、adminPages.ts（ota 改為 live）</t>
        </is>
      </c>
      <c r="K94" s="6" t="inlineStr">
        <is>
          <t>按板型列出版本：狀態（草稿／推送中＋階段／暫停＋原因／現行／舊版）、已更新／目標台數、回滾台數、大小、發佈時間、說明；單一版本可編輯白名單、推進下一階段、暫停／恢復、撤下；回滾設備清單可點進設備頁；顯示 app 分區用量（P2-12）；每個操作要確認並寫審計記錄；只有超級管理員可見；375px 無橫向捲動。</t>
        </is>
      </c>
      <c r="L94" s="6" t="inlineStr">
        <is>
          <t>本機瀏覽器：上傳 → 白名單加 62:70 → 推進 10% → 50% → 100%，每步台數和模擬 20 台的結果一致；③ 觸發暫停後頁面顯示原因並可恢復；審計頁看到每次階段變更；內容管理員看不到該頁</t>
        </is>
      </c>
      <c r="M94" s="13" t="inlineStr">
        <is>
          <t>P2-18, P2-19, P2-20, P2-14</t>
        </is>
      </c>
      <c r="N94" s="6" t="inlineStr">
        <is>
          <t>10-14 模擬 20 台全部通過（見上次）；2026-10-15 真機補做：OTA 頁對 1.7.1 白名單加 62:70（UI MAC 欄）→ 存檔確認框 → 『Narrow to Whitelist』確認 → Make current（用戶點）→ 62:70 安裝並確認，頁面顯示 Rolling out · Whitelist、運行 1、回滾 0；每步一筆審計。依賴 P2-14 已完成</t>
        </is>
      </c>
      <c r="O94" s="13" t="inlineStr">
        <is>
          <t>e0d7ac6</t>
        </is>
      </c>
      <c r="P94" s="6" t="inlineStr">
        <is>
          <t>[2026-10-14] 新增
[2026-10-14] 2026-10-14 用戶決定提前到第 2 階段，現在開始做
[2026-10-14] 未完成：依賴 P2-14 的真板測試未做；測試方法中『白名單加 62:70』以模擬設備代替，實機一步歸 P2-16 ④，等板子到手一起做</t>
        </is>
      </c>
    </row>
    <row r="95" ht="409" customHeight="1">
      <c r="A95" s="13" t="inlineStr">
        <is>
          <t>P2-22</t>
        </is>
      </c>
      <c r="B95" s="13" t="inlineStr">
        <is>
          <t>P2</t>
        </is>
      </c>
      <c r="C95" s="13" t="inlineStr">
        <is>
          <t>3 封閉內測</t>
        </is>
      </c>
      <c r="D95" s="6" t="inlineStr">
        <is>
          <t>OTA/韌體</t>
        </is>
      </c>
      <c r="E95" s="6" t="inlineStr">
        <is>
          <t>改服務器網址也不失聯：語音網址由後端下發、後端網址可遷移、已確認韌體長期連不上時自救</t>
        </is>
      </c>
      <c r="F95" s="13" t="inlineStr">
        <is>
          <t>進行中</t>
        </is>
      </c>
      <c r="G95" s="13" t="inlineStr">
        <is>
          <t>部分通過</t>
        </is>
      </c>
      <c r="I95" s="6" t="inlineStr">
        <is>
          <t>OTA 和取 token 都走後端（backend_server），語音伺服器網址（ws_server/ws_path，現為 elatoai.hkqft.com/fastapi/ws/esp32）寫死在韌體裡。日後改 FastAPI 網址就要先推新韌體，而新韌體在試用期內連不上新網址會被回滾；後端網址一改，現有板子連 OTA 都收不到，只能 USB 救。另一個缺口：已確認（過了試用期）的韌體如果之後一直連不上服務器但不崩潰，682f3b4 的連續崩溃切槽不會觸發，板子收不到修復。</t>
        </is>
      </c>
      <c r="J95" s="6" t="inlineStr">
        <is>
          <t>firmware-arduino/src/Config.cpp（ws_server、ws_port、ws_path、backend_server、CF_CA_bundle）、src/OTA.cpp（otaBootCheck、usableOtherSlot）、取 token 的流程；frontend-nextjs 的 /api/generate_auth_token（回應加 voice_url / backend_url）；R-35 的 NVS 網址</t>
        </is>
      </c>
      <c r="K95" s="6" t="inlineStr">
        <is>
          <t>① /api/generate_auth_token 的回應帶 voice_url（wss 主機＋端口＋路徑，來自後端環境變數）；韌體用它連 /ws，並把最後一次成功的值存進 NVS；改 FastAPI 網址只改伺服器設定，不需新韌體 ② 回應沒有 voice_url（舊後端）或新網址連不上時，退回 NVS 上次成功的值，再退回出廠／編譯時的預設值 ③ 後端網址可遷移：回應可帶 backend_url；韌體先存為候選，下次開機用新網址取 token 成功才正式替換，失敗就繼續用舊網址；舊網址在遷移期內保持可用（runbook 寫明保留多久） ④ 已確認的韌體若連續 N 次開機（預設 10 次、跨度至少 24 小時，計數存 NVS）Wi-Fi 已拿到 IP 卻取不到 token：先依次試 NVS、出廠的後端網址；仍失敗且另一個槽可用，就切到另一個槽一次，並在下次連上時把本版本報為失敗 ⑤ 純斷網（拿不到 IP、路由器沒外網）不計入 ④ ⑥ 新網址的證書必須鏈到 CF_CA_bundle 裡的根（GTS Root R4、ISRG Root X1）；換主機或離開 Cloudflare 前先查證書鏈，runbook 寫明 ⑦ 只接受 https 的 backend_url 和 wss 的 voice_url，主機須在韌體內允許的網域後綴之下，防止後端被冒充時把板子引去別處</t>
        </is>
      </c>
      <c r="L95" s="6" t="inlineStr">
        <is>
          <t>① 62:70（-localall）：後端環境變數把 voice_url 改到另一個端口的語音伺服器，重開機 → 連上新的，不需刷機 ② 把 voice_url 改成連不上的地址 → 退回 NVS 上次成功的值，照常對話 ③ backend_url 指向第二個本地後端 → 下次開機在新後端取 token 成功並替換；指向不存在的地址 → 繼續用舊的，對話不中斷 ④ 停掉後端、保留 Wi-Fi，把 N 臨時調小（例如 3 次、跨度 0）→ 第 N 次開機切到另一個槽，恢復後端後該版本被記為失敗 ⑤ 路由器拔掉外網線重開 N 次 → 不切槽 ⑥ 一塊雲端板上用同樣流程驗證 ①（改 elatoai 那套的 voice_url）⑦ 下發不在允許網域後綴之下的網址 → 韌體拒用並在序列埠提示</t>
        </is>
      </c>
      <c r="M95" s="13" t="inlineStr">
        <is>
          <t>R-35</t>
        </is>
      </c>
      <c r="N95" s="6" t="inlineStr">
        <is>
          <t>後端部分（分支 p2-22-server-urls）：node --test lib/deviceServerUrls.test.mjs 5/5、tsc 0 錯誤。worktree dev server 3222 + 本機 Supabase，兩塊假板（02:22:…:01/02）：已認領 200 帶 voice_url + backend_url；未認領 202 只帶 backend_url；DEVICE_VOICE_URL=ws://fastapi:7860/… → 不發、日誌記錯誤；兩個變數都不設 → 兩個欄位都不帶；生產值 → wss://elatoai.hkqft.com/fastapi/ws/esp32、https://elatoai.hkqft.com。測試數據已清除</t>
        </is>
      </c>
      <c r="O95" s="13" t="inlineStr">
        <is>
          <t>c0f0e29</t>
        </is>
      </c>
      <c r="P95" s="6" t="inlineStr">
        <is>
          <t>[2026-10-14] 新增
[2026-10-14] 2026-10-14 用戶要求：日後改 FastAPI 網址，板子仍要能 OTA 並連上。① 後端改動可隨時部署；②–⑦ 的韌體部分必須在 11/27 交 Spotpear 的出廠映像之前完成，出廠後才加的話，已出貨的板子靠 OTA 也能拿到，但前提是當時的網址還連得上。
[2026-10-15] 未完成：韌體部分（①② 使用 voice_url 並在 NVS 記上次成功的值、③ 候選 backend_url、④⑤ 連續 10 次開機連不上就切槽、⑦ 允許的網域後綴）未開始，要用 62:70 實機測；runbook（③ 舊網址保留多久、⑥ 證書鏈檢查）未寫。部署：.env.production 加 DEVICE_VOICE_URL、DEVICE_BACKEND_URL；舊韌體會忽略這兩個欄位，可以先上後端。分支未合併 dev、未推送
[2026-10-15] 2026-10-15（用戶決定只記備註、不另開任務）：開機時 tryConnect() 挑訊號最強的已存網絡，但不檢查能否到伺服器。若該網絡本身上不了網（熱點關了流動數據、要網頁登入的酒店 Wi-Fi、寬頻斷了），玩具每次開機都會卡在那裡，即使另一個已存網絡可用。做 ④ 時一併考慮：連上後取不到 token 就改試下一個已存網絡。62:70 連著到不了本機伺服器的 iPhone 熱點時出現過，但那是本機測試環境造成的，雲端不會。</t>
        </is>
      </c>
    </row>
    <row r="96" ht="200" customHeight="1">
      <c r="A96" s="13" t="inlineStr">
        <is>
          <t>P2-23</t>
        </is>
      </c>
      <c r="B96" s="13" t="inlineStr">
        <is>
          <t>P2</t>
        </is>
      </c>
      <c r="C96" s="13" t="inlineStr">
        <is>
          <t>3 封閉內測</t>
        </is>
      </c>
      <c r="D96" s="6" t="inlineStr">
        <is>
          <t>OTA/韌體</t>
        </is>
      </c>
      <c r="E96" s="6" t="inlineStr">
        <is>
          <t>無感 OTA：閒置入睡前在背景下載，下次喚醒時生效</t>
        </is>
      </c>
      <c r="F96" s="13" t="inlineStr">
        <is>
          <t>未開始</t>
        </is>
      </c>
      <c r="G96" s="13" t="inlineStr">
        <is>
          <t>未測試</t>
        </is>
      </c>
      <c r="I96" s="6" t="inlineStr">
        <is>
          <t>現在 OTA 在開機時進行：開機取 token 時後端說要更新，板子就下載、重開，之後才開語音。2026-10-15 在 62:70 實測（本機 HTTP、1.52 MB），從開機到新版本能對話約 15 秒，其中下載 12.8 秒；雲端經 HTTPS／Cloudflare 未量，應更長。孩子按開機後要等這麼久玩具才說話，會覺得壞了。</t>
        </is>
      </c>
      <c r="J96" s="6" t="inlineStr">
        <is>
          <t>firmware-arduino/src/OTA.cpp（otaCheckAndUpdate、installImage）、src/Audio.cpp（enterSleep、閒置睡眠 IDLE_SLEEP_SECONDS）、src/SupplyMonitor.cpp（低電判斷）；伺服器不用改（offer 仍隨 /api/generate_auth_token 回來）</t>
        </is>
      </c>
      <c r="K96" s="6" t="inlineStr">
        <is>
          <t>① 開機只記下 offer，不下載、不重開；照常開 websocket 對話 ② 閒置準備入睡時（websocket 已關，C3 只有一條 TLS），如有未裝的 offer 就下載到另一個槽並校驗 SHA-256，成功後才入睡；下次喚醒的重開即進新版本，試用期與回滾照舊 ③ 下載中按 BOOT（孩子要說話）→ Update.abort，立即回到對話，下次入睡再試；不算失敗次數 ④ 電量低（supplyLow／電池低）不下載 ⑤ 已下載但未生效時再開機，不重複下載（slot 已設為下次啟動） ⑥ 有 offer 超過 N 天（預設 3 天）都沒機會在入睡時裝，就退回開機時安裝 ⑦ 下載期間 LED 和平時入睡一致，不播提示音 ⑧ 可選：映像 gzip 壓縮下載（10-15 實測 1,592,176 → 999,108 bytes），固件邊下邊解壓</t>
        </is>
      </c>
      <c r="L96" s="6" t="inlineStr">
        <is>
          <t>62:70（-localall）：① 發佈新版本後開機 → 串口記下 offer，3 秒內連上語音並播開場白，無下載 ② 閒置至入睡 → 串口顯示下載與 SHA-256 通過後才 Sleeping；按 BOOT 喚醒 → 新版本 on 新槽、probation，120 秒後 confirmed，從按鍵到開場白的時間和沒有更新時相差 ≤ 2 秒 ③ 入睡下載中按 BOOT → 1 秒內回到對話，新槽不生效，下次入睡重下成功 ④ 強制低電 build → 入睡時跳過下載 ⑤ 已下載未生效時拔電重開 → 進新版本、不重下 ⑥ 把 N 調成 0 → 開機即安裝（舊行為）⑦ 量一次雲端 HTTPS 下載時間（等雲端可測時）</t>
        </is>
      </c>
      <c r="M96" s="13" t="inlineStr">
        <is>
          <t>P2-16</t>
        </is>
      </c>
      <c r="P96" s="6" t="inlineStr">
        <is>
          <t>[2026-10-15] 新增
[2026-10-15] 2026-10-15 用戶要求。最好趕上 11/27 交 Spotpear 的出廠映像；趕不上也能經 OTA 推出，只是那一次更新仍要開機時等。依賴 P2-16（分批推送，已完成）。</t>
        </is>
      </c>
    </row>
    <row r="97" ht="186" customHeight="1">
      <c r="A97" s="13" t="inlineStr">
        <is>
          <t>P2-24</t>
        </is>
      </c>
      <c r="B97" s="13" t="inlineStr">
        <is>
          <t>P2</t>
        </is>
      </c>
      <c r="C97" s="13" t="inlineStr">
        <is>
          <t>2 內測準備</t>
        </is>
      </c>
      <c r="D97" s="6" t="inlineStr">
        <is>
          <t>韌體-音訊</t>
        </is>
      </c>
      <c r="E97" s="6" t="inlineStr">
        <is>
          <t>麥克風上行改用 IMA ADPCM（減少 4 倍頻寬）</t>
        </is>
      </c>
      <c r="F97" s="13" t="inlineStr">
        <is>
          <t>進行中</t>
        </is>
      </c>
      <c r="G97" s="13" t="inlineStr">
        <is>
          <t>部分通過</t>
        </is>
      </c>
      <c r="I97" s="6" t="inlineStr">
        <is>
          <t>上行仍是從上游 ElatoAI 沿用的未壓縮 16kHz PCM（256 kbps）。2026-10-13 在 51:16:c0 實測：iPhone 熱點上發送最長卡 330ms、說話時 heap 13–20KB、最低 788B、約 5 輪斷 3 次；同板在 HKQF - Guest 20 輪 0 斷、最低 40.9KB。內部測試的家庭有人會用手機熱點。</t>
        </is>
      </c>
      <c r="J97" s="6" t="inlineStr">
        <is>
          <t>firmware-arduino/src/Audio.cpp（麥克風上行發送、websocketExtraHeaders）；server/fastapi/esp32_transport.py（RawPCMFrameSerializer 的輸入）、server.py（/ws/esp32 接受連線）；Python 3.11 內建 audioop，3.13+ 用 audioop-lts</t>
        </is>
      </c>
      <c r="K97" s="6" t="inlineStr">
        <is>
          <t>① 新韌體上行用 IMA ADPCM（64 kbps），每幀帶解碼狀態（預測值＋步長索引），掉幀或重連後下一幀即可正確解碼 ② 連線時以 header 聲明編碼；伺服器據此解碼成 16kHz PCM 再交給 STT；沒有聲明的舊韌體照舊當 PCM ③ 韌體編碼與伺服器解碼位元一致（同一算法）④ 編碼 CPU &lt; 2%、不增加延遲 ⑤ 語音辨識品質與 PCM 相當</t>
        </is>
      </c>
      <c r="L97" s="6" t="inlineStr">
        <is>
          <t>① C 編碼器與 Python audioop 交叉驗證：同一段 PCM，韌體算法編碼 → audioop 解碼 = audioop 自己編碼再解碼的結果 ② pytest：帶 header 的連線解碼正確、無 header 照舊 PCM、壞幀不崩潰 ③ 62:70（Guest）：粵語對話 10 輪，STT 文字與 PCM 版本相當；上行位元組數約為原來 1/4 ④ 雲端可測時：雲端板在 iPhone 熱點重跑 10/13 的量度（發送最長卡頓、說話時 heap、斷線次數），對照 PCM 版本 ⑤ 舊韌體（1.0.1）連新伺服器照常對話</t>
        </is>
      </c>
      <c r="M97" s="13" t="n"/>
      <c r="N97" s="6" t="inlineStr">
        <is>
          <t>① pytest test_mic_adpcm 10 項：Mac 上編譯 firmware MicAdpcm.cpp，與 audioop 逐 byte 一致（改壞一個表值即失敗）；分塊解碼 = 連續流解碼；掉一塊只損失該塊；人聲段 SNR &gt; 20dB；全套 275 passed ② 伺服器按 X-Mic-Codec 解碼，無 header 照舊 PCM（10:37 1.7.5 → mic=pcm，10:40 1.7.6 → mic=adpcm）③ 62:70 Guest（2026-10-15）：ADPCM 3 輪 Azure zh-HK 辨識通順完整（如『但係點解依家望到外邊係陰天嘅？』），STT 431–526ms，對照同場 PCM 560ms；上行 27,650B/3,370ms 與 16,625B/2,026ms = 8.2 B/ms（PCM 32），發送最長 3ms、最低 heap 55KB</t>
        </is>
      </c>
      <c r="O97" s="13" t="inlineStr">
        <is>
          <t>1ed9d3b</t>
        </is>
      </c>
      <c r="P97" s="6" t="inlineStr">
        <is>
          <t>[2026-10-15] 新增
[2026-10-15] 未做：④ 雲端板在 iPhone 熱點重跑 10/13 量度（等雲端可測）；⑤ 舊韌體 1.0.1 連新伺服器（邏輯上無 header 即 PCM，pytest 已覆蓋，未實機）；用戶確認辨識文字與原話一致。分支 p2-24-adpcm-uplink 未合併、未推送。</t>
        </is>
      </c>
    </row>
    <row r="98" ht="102" customHeight="1">
      <c r="A98" s="13" t="inlineStr">
        <is>
          <t>P2-25</t>
        </is>
      </c>
      <c r="B98" s="13" t="inlineStr">
        <is>
          <t>P2</t>
        </is>
      </c>
      <c r="C98" s="13" t="inlineStr">
        <is>
          <t>2 內測準備</t>
        </is>
      </c>
      <c r="D98" s="6" t="inlineStr">
        <is>
          <t>韌體-網絡</t>
        </is>
      </c>
      <c r="E98" s="6" t="inlineStr">
        <is>
          <t>C3 斷線後自救：TLS 握手超時縮短、連續失敗重設 Wi-Fi 或重開、修重試漏記憶體</t>
        </is>
      </c>
      <c r="F98" s="13" t="inlineStr">
        <is>
          <t>未開始</t>
        </is>
      </c>
      <c r="G98" s="13" t="inlineStr">
        <is>
          <t>未測試</t>
        </is>
      </c>
      <c r="I98" s="6" t="inlineStr">
        <is>
          <t>2026-10-13 在 51:16:c0（熱點）斷線後每次重連卡約 121 秒（TLS 握手超時），持續 26 分鐘不恢復；debug 版本顯示每次失敗的重連漏約 170B heap；韌體不會重設 Wi-Fi 或重開，孩子只見玩具不回應。</t>
        </is>
      </c>
      <c r="J98" s="6" t="inlineStr">
        <is>
          <t>firmware-arduino/src/Audio.cpp（websocketSetup、networkTask 重連）、src/WifiManager.cpp；debug 分支 debug-1.0.1-iwdt 的 heap 記錄工具</t>
        </is>
      </c>
      <c r="K98" s="6" t="inlineStr">
        <is>
          <t>① websocket / HTTPS 的 TLS 握手超時約 15 秒（可調）② 連續 N 次（預設 5）連不上伺服器就重設 Wi-Fi 重連；再連續失敗就 ESP.restart()（試用期內的重開照 OTA 規則處理）③ 失敗的重連不再漏 heap：連續 50 次失敗前後 free heap 差 &lt; 1KB ④ 已綁定設備的正常斷網重連行為不變（R-36 ④）</t>
        </is>
      </c>
      <c r="L98" s="6" t="inlineStr">
        <is>
          <t>① 62:70：停掉語音伺服器 → 串口每次握手失敗 ≤ 15 秒，第 N 次後重設 Wi-Fi、再後重開，恢復伺服器後自動連上 ② 記錄 50 次失敗重連前後的 free heap ③ 雲端可測時在 iPhone 熱點重跑 10/13 情境，斷線後 1 分鐘內恢復對話</t>
        </is>
      </c>
      <c r="M98" s="13" t="inlineStr">
        <is>
          <t>P2-24</t>
        </is>
      </c>
      <c r="P98" s="6" t="inlineStr">
        <is>
          <t>[2026-10-15] 新增</t>
        </is>
      </c>
    </row>
  </sheetData>
  <autoFilter ref="A1:P98"/>
  <conditionalFormatting sqref="F2:F1000">
    <cfRule type="cellIs" priority="1" operator="equal" dxfId="0">
      <formula>"已完成"</formula>
    </cfRule>
    <cfRule type="cellIs" priority="2" operator="equal" dxfId="1">
      <formula>"進行中"</formula>
    </cfRule>
    <cfRule type="cellIs" priority="3" operator="equal" dxfId="2">
      <formula>"阻塞"</formula>
    </cfRule>
    <cfRule type="cellIs" priority="4" operator="equal" dxfId="3">
      <formula>"不適用"</formula>
    </cfRule>
  </conditionalFormatting>
  <conditionalFormatting sqref="G2:G1000">
    <cfRule type="cellIs" priority="5" operator="equal" dxfId="0">
      <formula>"通過"</formula>
    </cfRule>
    <cfRule type="cellIs" priority="6" operator="equal" dxfId="2">
      <formula>"失敗"</formula>
    </cfRule>
    <cfRule type="cellIs" priority="7" operator="equal" dxfId="1">
      <formula>"部分通過"</formula>
    </cfRule>
  </conditionalFormatting>
  <conditionalFormatting sqref="B2:B1000">
    <cfRule type="cellIs" priority="8" operator="equal" dxfId="4">
      <formula>"P0"</formula>
    </cfRule>
    <cfRule type="cellIs" priority="9" operator="equal" dxfId="5">
      <formula>"P1"</formula>
    </cfRule>
    <cfRule type="cellIs" priority="10" operator="equal" dxfId="6">
      <formula>"P2"</formula>
    </cfRule>
    <cfRule type="cellIs" priority="11" operator="equal" dxfId="7">
      <formula>"R"</formula>
    </cfRule>
  </conditionalFormatting>
  <dataValidations count="4">
    <dataValidation sqref="B2:B1000" showDropDown="0" showInputMessage="0" showErrorMessage="1" allowBlank="1" errorTitle="無效的值" error="請從下拉清單選擇" type="list">
      <formula1>"P0,P1,P2,R"</formula1>
    </dataValidation>
    <dataValidation sqref="C2:C1000" showDropDown="0" showInputMessage="0" showErrorMessage="1" allowBlank="1" errorTitle="無效的值" error="請從下拉清單選擇" type="list">
      <formula1>"1 止血定案,2 內測準備,3 封閉內測,4 量產出貨"</formula1>
    </dataValidation>
    <dataValidation sqref="F2:F1000" showDropDown="0" showInputMessage="0" showErrorMessage="1" allowBlank="1" errorTitle="無效的值" error="請從下拉清單選擇" type="list">
      <formula1>"未開始,進行中,已完成,阻塞,不適用"</formula1>
    </dataValidation>
    <dataValidation sqref="G2:G1000" showDropDown="0" showInputMessage="0" showErrorMessage="1" allowBlank="1" errorTitle="無效的值" error="請從下拉清單選擇" type="list">
      <formula1>"未測試,通過,失敗,部分通過"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46" customWidth="1" min="3" max="3"/>
    <col width="22" customWidth="1" min="4" max="4"/>
    <col width="9" customWidth="1" min="5" max="5"/>
    <col width="46" customWidth="1" min="6" max="6"/>
    <col width="12" customWidth="1" min="7" max="7"/>
  </cols>
  <sheetData>
    <row r="1" ht="22" customHeight="1">
      <c r="A1" s="4" t="inlineStr">
        <is>
          <t>編號</t>
        </is>
      </c>
      <c r="B1" s="4" t="inlineStr">
        <is>
          <t>問題</t>
        </is>
      </c>
      <c r="C1" s="4" t="inlineStr">
        <is>
          <t>為什麼重要</t>
        </is>
      </c>
      <c r="D1" s="4" t="inlineStr">
        <is>
          <t>影響的任務</t>
        </is>
      </c>
      <c r="E1" s="4" t="inlineStr">
        <is>
          <t>狀態</t>
        </is>
      </c>
      <c r="F1" s="4" t="inlineStr">
        <is>
          <t>回答</t>
        </is>
      </c>
      <c r="G1" s="4" t="inlineStr">
        <is>
          <t>回答日期</t>
        </is>
      </c>
    </row>
    <row r="2" ht="32" customHeight="1">
      <c r="A2" s="13" t="inlineStr">
        <is>
          <t>Q1</t>
        </is>
      </c>
      <c r="B2" s="6" t="inlineStr">
        <is>
          <t>目標市場與孩子的年齡層是？</t>
        </is>
      </c>
      <c r="C2" s="6" t="inlineStr">
        <is>
          <t>決定要符合香港 PDPO、內地 PIPL、美國 COPPA 還是歐盟 GDPR-K，以及需要哪些硬件認證。</t>
        </is>
      </c>
      <c r="D2" s="6" t="inlineStr">
        <is>
          <t>P1-04, P1-05, P1-08</t>
        </is>
      </c>
      <c r="E2" s="13" t="inlineStr">
        <is>
          <t>已回覆</t>
        </is>
      </c>
      <c r="F2" s="6" t="inlineStr">
        <is>
          <t>首發香港（粵語）；第一階段做陪伴型 AI，之後再加學習類角色。孩子年齡層未定。</t>
        </is>
      </c>
      <c r="G2" s="13" t="inlineStr">
        <is>
          <t>2026-09-30</t>
        </is>
      </c>
    </row>
    <row r="3" ht="32" customHeight="1">
      <c r="A3" s="13" t="inlineStr">
        <is>
          <t>Q2</t>
        </is>
      </c>
      <c r="B3" s="6" t="inlineStr">
        <is>
          <t>elatoai.hkqft.com 目前有沒有真實家庭在使用？</t>
        </is>
      </c>
      <c r="C3" s="6" t="inlineStr">
        <is>
          <t>有的話全部 P0 要立即處理，並要考慮是否需要通知用戶。</t>
        </is>
      </c>
      <c r="D3" s="6" t="inlineStr">
        <is>
          <t>P0-01（全部 P0 的緊急程度）</t>
        </is>
      </c>
      <c r="E3" s="13" t="inlineStr">
        <is>
          <t>已回覆</t>
        </is>
      </c>
      <c r="F3" s="6" t="inlineStr">
        <is>
          <t>目前沒有真實家庭使用（2026-09-30 確認）。</t>
        </is>
      </c>
      <c r="G3" s="13" t="inlineStr">
        <is>
          <t>2026-09-30</t>
        </is>
      </c>
    </row>
    <row r="4" ht="18" customHeight="1">
      <c r="A4" s="13" t="inlineStr">
        <is>
          <t>Q3</t>
        </is>
      </c>
      <c r="B4" s="6" t="inlineStr">
        <is>
          <t>韌體打算閉源商業銷售嗎？</t>
        </is>
      </c>
      <c r="C4" s="6" t="inlineStr">
        <is>
          <t>決定 GPL／LGPL 依賴要開源還是替換。</t>
        </is>
      </c>
      <c r="D4" s="6" t="inlineStr">
        <is>
          <t>P1-06, P1-07</t>
        </is>
      </c>
      <c r="E4" s="13" t="inlineStr">
        <is>
          <t>待回覆</t>
        </is>
      </c>
      <c r="F4" s="6" t="n"/>
      <c r="G4" s="13" t="n"/>
    </row>
    <row r="5" ht="60" customHeight="1">
      <c r="A5" s="13" t="inlineStr">
        <is>
          <t>Q4</t>
        </is>
      </c>
      <c r="B5" s="6" t="inlineStr">
        <is>
          <t>第一年計劃多少台設備？</t>
        </is>
      </c>
      <c r="C5" s="6" t="inlineStr">
        <is>
          <t>決定擴展與成本相關工作的優先次序。</t>
        </is>
      </c>
      <c r="D5" s="6" t="inlineStr">
        <is>
          <t>P2-08, P2-09（優先次序）</t>
        </is>
      </c>
      <c r="E5" s="13" t="inlineStr">
        <is>
          <t>已回覆</t>
        </is>
      </c>
      <c r="F5" s="6" t="inlineStr">
        <is>
          <t>3 個月內（約 2026 年底）小批量 100–500 台，用現成板換殼；板子在 Waveshare S3 Audio 與一塊未到貨、類似 xmini-c3 的新板之間選。收費方式未定。</t>
        </is>
      </c>
      <c r="G5" s="13" t="inlineStr">
        <is>
          <t>2026-09-30</t>
        </is>
      </c>
    </row>
    <row r="6" ht="32" customHeight="1">
      <c r="A6" s="13" t="inlineStr">
        <is>
          <t>Q5</t>
        </is>
      </c>
      <c r="B6" s="6" t="inlineStr">
        <is>
          <t>孩子的目標年齡層是幾歲？</t>
        </is>
      </c>
      <c r="C6" s="6" t="inlineStr">
        <is>
          <t>決定角色的說話方式與話題範圍、內容審核的尺度，以及粵語評測要錄哪個年齡的聲音。</t>
        </is>
      </c>
      <c r="D6" s="6" t="inlineStr">
        <is>
          <t>R-02, R-04, P1-01</t>
        </is>
      </c>
      <c r="E6" s="13" t="inlineStr">
        <is>
          <t>已回覆</t>
        </is>
      </c>
      <c r="F6" s="6" t="inlineStr">
        <is>
          <t>3–6 歲。</t>
        </is>
      </c>
      <c r="G6" s="13" t="inlineStr">
        <is>
          <t>2026-09-30</t>
        </is>
      </c>
    </row>
    <row r="7" ht="18" customHeight="1">
      <c r="A7" s="13" t="inlineStr">
        <is>
          <t>Q6</t>
        </is>
      </c>
      <c r="B7" s="6" t="inlineStr">
        <is>
          <t>家長可以自己建立角色嗎？</t>
        </is>
      </c>
      <c r="C7" s="6" t="inlineStr">
        <is>
          <t>決定角色表的權限與內容安全的把關方式。</t>
        </is>
      </c>
      <c r="D7" s="6" t="inlineStr">
        <is>
          <t>P0-15, R-02</t>
        </is>
      </c>
      <c r="E7" s="13" t="inlineStr">
        <is>
          <t>已回覆</t>
        </is>
      </c>
      <c r="F7" s="6" t="inlineStr">
        <is>
          <t>v1 關閉，只用內容管理員管理的精選角色。</t>
        </is>
      </c>
      <c r="G7" s="13" t="inlineStr">
        <is>
          <t>2026-09-30</t>
        </is>
      </c>
    </row>
    <row r="8" ht="32" customHeight="1">
      <c r="A8" s="13" t="inlineStr">
        <is>
          <t>Q7</t>
        </is>
      </c>
      <c r="B8" s="6" t="inlineStr">
        <is>
          <t>管理員能不能看孩子的對話和記憶？</t>
        </is>
      </c>
      <c r="C8" s="6" t="inlineStr">
        <is>
          <t>兒童資料的最小權限原則；決定管理端、資料庫權限和審核事件要記什麼。</t>
        </is>
      </c>
      <c r="D8" s="6" t="inlineStr">
        <is>
          <t>P0-12, P1-01, P1-11</t>
        </is>
      </c>
      <c r="E8" s="13" t="inlineStr">
        <is>
          <t>已回覆</t>
        </is>
      </c>
      <c r="F8" s="6" t="inlineStr">
        <is>
          <t>完全不能：網頁管理端和資料庫權限都不給；審核事件只記類別，不記原文。</t>
        </is>
      </c>
      <c r="G8" s="13" t="inlineStr">
        <is>
          <t>2026-09-30</t>
        </is>
      </c>
    </row>
    <row r="9" ht="18" customHeight="1">
      <c r="A9" s="13" t="inlineStr">
        <is>
          <t>Q8</t>
        </is>
      </c>
      <c r="B9" s="6" t="inlineStr">
        <is>
          <t>一個家庭帳號的結構？</t>
        </is>
      </c>
      <c r="C9" s="6" t="inlineStr">
        <is>
          <t>決定資料表和家長端的權限範圍。</t>
        </is>
      </c>
      <c r="D9" s="6" t="inlineStr">
        <is>
          <t>P0-12</t>
        </is>
      </c>
      <c r="E9" s="13" t="inlineStr">
        <is>
          <t>已回覆</t>
        </is>
      </c>
      <c r="F9" s="6" t="inlineStr">
        <is>
          <t>v1 維持 1 個家長帳號、1 個孩子、1 台設備。</t>
        </is>
      </c>
      <c r="G9" s="13" t="inlineStr">
        <is>
          <t>2026-09-30</t>
        </is>
      </c>
    </row>
    <row r="10" ht="46" customHeight="1">
      <c r="A10" s="13" t="inlineStr">
        <is>
          <t>Q9</t>
        </is>
      </c>
      <c r="B10" s="6" t="inlineStr">
        <is>
          <t>管理員分幾種角色？</t>
        </is>
      </c>
      <c r="C10" s="6" t="inlineStr">
        <is>
          <t>最小權限：誰能改角色、誰能改系統設定、誰能動設備。</t>
        </is>
      </c>
      <c r="D10" s="6" t="inlineStr">
        <is>
          <t>P0-12, R-11</t>
        </is>
      </c>
      <c r="E10" s="13" t="inlineStr">
        <is>
          <t>已回覆</t>
        </is>
      </c>
      <c r="F10" s="6" t="inlineStr">
        <is>
          <t>v1 兩種：超級管理員、內容管理員。客服工具照做，暫由超級管理員使用；客服角色之後有需要再加。</t>
        </is>
      </c>
      <c r="G10" s="13" t="inlineStr">
        <is>
          <t>2026-09-30</t>
        </is>
      </c>
    </row>
    <row r="11" ht="74" customHeight="1">
      <c r="A11" s="13" t="inlineStr">
        <is>
          <t>Q10</t>
        </is>
      </c>
      <c r="B11" s="6" t="inlineStr">
        <is>
          <t>燒錄和出廠自檢在哪裡做：板子供應商出貨前預燒、玩具廠設工位，還是我們自己做？</t>
        </is>
      </c>
      <c r="C11" s="6" t="inlineStr">
        <is>
          <t>決定出廠腳本、自檢工位和作業指導書按哪種場地準備（W8 要交工廠），以及設備密鑰會不會經過供應商。建議：Spotpear 燒共用、不含密鑰的韌體；玩具廠裝機芯盒工位用我方電腦寫密鑰、選品牌款式、開加密、自檢、登記。最遲 11/6 定。</t>
        </is>
      </c>
      <c r="D11" s="6" t="inlineStr">
        <is>
          <t>R-10</t>
        </is>
      </c>
      <c r="E11" s="13" t="inlineStr">
        <is>
          <t>已回覆</t>
        </is>
      </c>
      <c r="F11" s="6" t="inlineStr">
        <is>
          <t>2026-10-12 用戶決定：燒共用韌體。Spotpear 出貨前代燒所有品牌共用、不含密鑰的出廠韌體，附每片 MAC 清單；每台的設備密鑰、品牌和款式、自檢、登記在玩具廠裝機芯盒工位，用我方電腦和腳本經序列埠完成。</t>
        </is>
      </c>
      <c r="G11" s="13" t="inlineStr">
        <is>
          <t>2026-10-12</t>
        </is>
      </c>
    </row>
    <row r="12" ht="32" customHeight="1">
      <c r="A12" s="13" t="inlineStr">
        <is>
          <t>Q11</t>
        </is>
      </c>
      <c r="B12" s="6" t="inlineStr">
        <is>
          <t>馬會快活的賽馬日版和新春版各多少隻（共 2,500）？</t>
        </is>
      </c>
      <c r="C12" s="6" t="inlineStr">
        <is>
          <t>兩款的服裝和配件要分開訂料；11/20 前不知道，PP 樣和大貨單（11/27）會被拖慢。由馬會決定。</t>
        </is>
      </c>
      <c r="D12" s="6" t="inlineStr">
        <is>
          <t>R-09, R-15</t>
        </is>
      </c>
      <c r="E12" s="13" t="inlineStr">
        <is>
          <t>待回覆</t>
        </is>
      </c>
    </row>
    <row r="13" ht="74" customHeight="1">
      <c r="A13" s="13" t="inlineStr">
        <is>
          <t>Q12</t>
        </is>
      </c>
      <c r="B13" s="6" t="inlineStr">
        <is>
          <t>快活 App 的「會員綁定」是指甚麼：用我們自己的帳號（email 驗證碼），還是接馬會的會員帳號登入（SSO）？</t>
        </is>
      </c>
      <c r="C13" s="6" t="inlineStr">
        <is>
          <t>接馬會 SSO 的話，登入、帳號刪除和資料歸屬都要按馬會的介面重做，工作量和排期要另估，而且 W5（11/9–11/13）就要做快活 App 的綁定；用我們的帳號則和其他品牌共用同一套流程。由馬會決定，要盡早問。</t>
        </is>
      </c>
      <c r="D13" s="6" t="inlineStr">
        <is>
          <t>P0-11, 快活 App（未入追蹤表）</t>
        </is>
      </c>
      <c r="E13" s="13" t="inlineStr">
        <is>
          <t>待回覆</t>
        </is>
      </c>
    </row>
    <row r="14" ht="46" customHeight="1">
      <c r="A14" s="13" t="inlineStr">
        <is>
          <t>Q13</t>
        </is>
      </c>
      <c r="B14" s="6" t="inlineStr">
        <is>
          <t>政協青年聯會版的角色、語言和內容由誰提供？什麼時候交？</t>
        </is>
      </c>
      <c r="C14" s="6" t="inlineStr">
        <is>
          <t>品牌 B 的用戶是成人會員，但角色、說話語言、內容規則都還沒有。最遲 11/13 要拿到，才趕得及內部測試和 App 頁面（W6）。</t>
        </is>
      </c>
      <c r="D14" s="6" t="inlineStr">
        <is>
          <t>品牌 B 的 App 頁面</t>
        </is>
      </c>
      <c r="E14" s="13" t="inlineStr">
        <is>
          <t>待回覆</t>
        </is>
      </c>
    </row>
  </sheetData>
  <autoFilter ref="A1:G14"/>
  <conditionalFormatting sqref="E2:E1000">
    <cfRule type="cellIs" priority="1" operator="equal" dxfId="0">
      <formula>"已回覆"</formula>
    </cfRule>
    <cfRule type="cellIs" priority="2" operator="equal" dxfId="1">
      <formula>"待回覆"</formula>
    </cfRule>
  </conditionalFormatting>
  <dataValidations count="1">
    <dataValidation sqref="E2:E1000" showDropDown="0" showInputMessage="0" showErrorMessage="1" allowBlank="1" errorTitle="無效的值" error="請從下拉清單選擇" type="list">
      <formula1>"待回覆,已回覆"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30" customWidth="1" min="3" max="3"/>
    <col width="9" customWidth="1" min="4" max="4"/>
    <col width="9" customWidth="1" min="5" max="5"/>
    <col width="10" customWidth="1" min="6" max="6"/>
    <col width="50" customWidth="1" min="7" max="7"/>
    <col width="10" customWidth="1" min="8" max="8"/>
    <col width="36" customWidth="1" min="9" max="9"/>
  </cols>
  <sheetData>
    <row r="1" ht="22" customHeight="1">
      <c r="A1" s="4" t="inlineStr">
        <is>
          <t>時間</t>
        </is>
      </c>
      <c r="B1" s="4" t="inlineStr">
        <is>
          <t>編號</t>
        </is>
      </c>
      <c r="C1" s="4" t="inlineStr">
        <is>
          <t>任務 / 問題</t>
        </is>
      </c>
      <c r="D1" s="4" t="inlineStr">
        <is>
          <t>舊狀態</t>
        </is>
      </c>
      <c r="E1" s="4" t="inlineStr">
        <is>
          <t>新狀態</t>
        </is>
      </c>
      <c r="F1" s="4" t="inlineStr">
        <is>
          <t>測試結果</t>
        </is>
      </c>
      <c r="G1" s="4" t="inlineStr">
        <is>
          <t>測試證據</t>
        </is>
      </c>
      <c r="H1" s="4" t="inlineStr">
        <is>
          <t>Commit</t>
        </is>
      </c>
      <c r="I1" s="4" t="inlineStr">
        <is>
          <t>備註</t>
        </is>
      </c>
    </row>
    <row r="2" ht="32" customHeight="1">
      <c r="A2" s="13" t="inlineStr">
        <is>
          <t>2026-09-30 09:17</t>
        </is>
      </c>
      <c r="B2" s="13" t="inlineStr">
        <is>
          <t>—</t>
        </is>
      </c>
      <c r="C2" s="6" t="inlineStr">
        <is>
          <t>建立追蹤表</t>
        </is>
      </c>
      <c r="D2" s="13" t="n"/>
      <c r="E2" s="13" t="n"/>
      <c r="F2" s="13" t="n"/>
      <c r="G2" s="6" t="n"/>
      <c r="H2" s="13" t="n"/>
      <c r="I2" s="6" t="inlineStr">
        <is>
          <t>依據 2026-09-30 的生產就緒評估建立：31 項任務、4 個待確認問題</t>
        </is>
      </c>
    </row>
    <row r="3" ht="46" customHeight="1">
      <c r="A3" s="13" t="inlineStr">
        <is>
          <t>2026-09-30 11:35</t>
        </is>
      </c>
      <c r="B3" s="13" t="inlineStr">
        <is>
          <t>Q1</t>
        </is>
      </c>
      <c r="C3" s="6" t="inlineStr">
        <is>
          <t>目標市場與孩子的年齡層是？</t>
        </is>
      </c>
      <c r="D3" s="13" t="inlineStr">
        <is>
          <t>待回覆</t>
        </is>
      </c>
      <c r="E3" s="13" t="inlineStr">
        <is>
          <t>已回覆</t>
        </is>
      </c>
      <c r="F3" s="13" t="n"/>
      <c r="G3" s="6" t="n"/>
      <c r="H3" s="13" t="n"/>
      <c r="I3" s="6" t="inlineStr">
        <is>
          <t>首發香港（粵語）；第一階段做陪伴型 AI，之後再加學習類角色。孩子年齡層未定。</t>
        </is>
      </c>
    </row>
    <row r="4" ht="32" customHeight="1">
      <c r="A4" s="13" t="inlineStr">
        <is>
          <t>2026-09-30 11:35</t>
        </is>
      </c>
      <c r="B4" s="13" t="inlineStr">
        <is>
          <t>Q2</t>
        </is>
      </c>
      <c r="C4" s="6" t="inlineStr">
        <is>
          <t>elatoai.hkqft.com 目前有沒有真實家庭在使用？</t>
        </is>
      </c>
      <c r="D4" s="13" t="inlineStr">
        <is>
          <t>待回覆</t>
        </is>
      </c>
      <c r="E4" s="13" t="inlineStr">
        <is>
          <t>已回覆</t>
        </is>
      </c>
      <c r="F4" s="13" t="n"/>
      <c r="G4" s="6" t="n"/>
      <c r="H4" s="13" t="n"/>
      <c r="I4" s="6" t="inlineStr">
        <is>
          <t>目前沒有真實家庭使用（2026-09-30 確認）。</t>
        </is>
      </c>
    </row>
    <row r="5" ht="74" customHeight="1">
      <c r="A5" s="13" t="inlineStr">
        <is>
          <t>2026-09-30 11:35</t>
        </is>
      </c>
      <c r="B5" s="13" t="inlineStr">
        <is>
          <t>Q4</t>
        </is>
      </c>
      <c r="C5" s="6" t="inlineStr">
        <is>
          <t>第一年計劃多少台設備？</t>
        </is>
      </c>
      <c r="D5" s="13" t="inlineStr">
        <is>
          <t>待回覆</t>
        </is>
      </c>
      <c r="E5" s="13" t="inlineStr">
        <is>
          <t>已回覆</t>
        </is>
      </c>
      <c r="F5" s="13" t="n"/>
      <c r="G5" s="6" t="n"/>
      <c r="H5" s="13" t="n"/>
      <c r="I5" s="6" t="inlineStr">
        <is>
          <t>3 個月內（約 2026 年底）小批量 100–500 台，用現成板換殼；板子在 Waveshare S3 Audio 與一塊未到貨、類似 xmini-c3 的新板之間選。收費方式未定。</t>
        </is>
      </c>
    </row>
    <row r="6" ht="32" customHeight="1">
      <c r="A6" s="13" t="inlineStr">
        <is>
          <t>2026-09-30 11:43</t>
        </is>
      </c>
      <c r="B6" s="13" t="inlineStr">
        <is>
          <t>R-01</t>
        </is>
      </c>
      <c r="C6" s="6" t="inlineStr">
        <is>
          <t>選定量產板子</t>
        </is>
      </c>
      <c r="D6" s="13" t="n"/>
      <c r="E6" s="13" t="inlineStr">
        <is>
          <t>未開始</t>
        </is>
      </c>
      <c r="F6" s="13" t="n"/>
      <c r="G6" s="6" t="n"/>
      <c r="H6" s="13" t="n"/>
      <c r="I6" s="6" t="inlineStr">
        <is>
          <t>新增任務（從 seed.json 同步）</t>
        </is>
      </c>
    </row>
    <row r="7" ht="32" customHeight="1">
      <c r="A7" s="13" t="inlineStr">
        <is>
          <t>2026-09-30 11:43</t>
        </is>
      </c>
      <c r="B7" s="13" t="inlineStr">
        <is>
          <t>R-02</t>
        </is>
      </c>
      <c r="C7" s="6" t="inlineStr">
        <is>
          <t>角色收窄到 5–8 個粵語陪伴角色</t>
        </is>
      </c>
      <c r="D7" s="13" t="n"/>
      <c r="E7" s="13" t="inlineStr">
        <is>
          <t>未開始</t>
        </is>
      </c>
      <c r="F7" s="13" t="n"/>
      <c r="G7" s="6" t="n"/>
      <c r="H7" s="13" t="n"/>
      <c r="I7" s="6" t="inlineStr">
        <is>
          <t>新增任務（從 seed.json 同步）</t>
        </is>
      </c>
    </row>
    <row r="8" ht="32" customHeight="1">
      <c r="A8" s="13" t="inlineStr">
        <is>
          <t>2026-09-30 11:43</t>
        </is>
      </c>
      <c r="B8" s="13" t="inlineStr">
        <is>
          <t>R-03</t>
        </is>
      </c>
      <c r="C8" s="6" t="inlineStr">
        <is>
          <t>移除不用的 Deno／Cloudflare 後端與上游預設主機</t>
        </is>
      </c>
      <c r="D8" s="13" t="n"/>
      <c r="E8" s="13" t="inlineStr">
        <is>
          <t>未開始</t>
        </is>
      </c>
      <c r="F8" s="13" t="n"/>
      <c r="G8" s="6" t="n"/>
      <c r="H8" s="13" t="n"/>
      <c r="I8" s="6" t="inlineStr">
        <is>
          <t>新增任務（從 seed.json 同步）</t>
        </is>
      </c>
    </row>
    <row r="9" ht="32" customHeight="1">
      <c r="A9" s="13" t="inlineStr">
        <is>
          <t>2026-09-30 11:43</t>
        </is>
      </c>
      <c r="B9" s="13" t="inlineStr">
        <is>
          <t>R-04</t>
        </is>
      </c>
      <c r="C9" s="6" t="inlineStr">
        <is>
          <t>粵語質量評測</t>
        </is>
      </c>
      <c r="D9" s="13" t="n"/>
      <c r="E9" s="13" t="inlineStr">
        <is>
          <t>未開始</t>
        </is>
      </c>
      <c r="F9" s="13" t="n"/>
      <c r="G9" s="6" t="n"/>
      <c r="H9" s="13" t="n"/>
      <c r="I9" s="6" t="inlineStr">
        <is>
          <t>新增任務（從 seed.json 同步）</t>
        </is>
      </c>
    </row>
    <row r="10" ht="32" customHeight="1">
      <c r="A10" s="13" t="inlineStr">
        <is>
          <t>2026-09-30 11:43</t>
        </is>
      </c>
      <c r="B10" s="13" t="inlineStr">
        <is>
          <t>R-05</t>
        </is>
      </c>
      <c r="C10" s="6" t="inlineStr">
        <is>
          <t>內測版外殼（3D 打印 20 台）</t>
        </is>
      </c>
      <c r="D10" s="13" t="n"/>
      <c r="E10" s="13" t="inlineStr">
        <is>
          <t>未開始</t>
        </is>
      </c>
      <c r="F10" s="13" t="n"/>
      <c r="G10" s="6" t="n"/>
      <c r="H10" s="13" t="n"/>
      <c r="I10" s="6" t="inlineStr">
        <is>
          <t>新增任務（從 seed.json 同步）</t>
        </is>
      </c>
    </row>
    <row r="11" ht="32" customHeight="1">
      <c r="A11" s="13" t="inlineStr">
        <is>
          <t>2026-09-30 11:43</t>
        </is>
      </c>
      <c r="B11" s="13" t="inlineStr">
        <is>
          <t>R-06</t>
        </is>
      </c>
      <c r="C11" s="6" t="inlineStr">
        <is>
          <t>家長自助上手流程</t>
        </is>
      </c>
      <c r="D11" s="13" t="n"/>
      <c r="E11" s="13" t="inlineStr">
        <is>
          <t>未開始</t>
        </is>
      </c>
      <c r="F11" s="13" t="n"/>
      <c r="G11" s="6" t="n"/>
      <c r="H11" s="13" t="n"/>
      <c r="I11" s="6" t="inlineStr">
        <is>
          <t>新增任務（從 seed.json 同步）</t>
        </is>
      </c>
    </row>
    <row r="12" ht="32" customHeight="1">
      <c r="A12" s="13" t="inlineStr">
        <is>
          <t>2026-09-30 11:43</t>
        </is>
      </c>
      <c r="B12" s="13" t="inlineStr">
        <is>
          <t>R-07</t>
        </is>
      </c>
      <c r="C12" s="6" t="inlineStr">
        <is>
          <t>20 個家庭封閉內測</t>
        </is>
      </c>
      <c r="D12" s="13" t="n"/>
      <c r="E12" s="13" t="inlineStr">
        <is>
          <t>未開始</t>
        </is>
      </c>
      <c r="F12" s="13" t="n"/>
      <c r="G12" s="6" t="n"/>
      <c r="H12" s="13" t="n"/>
      <c r="I12" s="6" t="inlineStr">
        <is>
          <t>新增任務（從 seed.json 同步）</t>
        </is>
      </c>
    </row>
    <row r="13" ht="32" customHeight="1">
      <c r="A13" s="13" t="inlineStr">
        <is>
          <t>2026-09-30 11:43</t>
        </is>
      </c>
      <c r="B13" s="13" t="inlineStr">
        <is>
          <t>R-08</t>
        </is>
      </c>
      <c r="C13" s="6" t="inlineStr">
        <is>
          <t>第 8 週關卡決策</t>
        </is>
      </c>
      <c r="D13" s="13" t="n"/>
      <c r="E13" s="13" t="inlineStr">
        <is>
          <t>未開始</t>
        </is>
      </c>
      <c r="F13" s="13" t="n"/>
      <c r="G13" s="6" t="n"/>
      <c r="H13" s="13" t="n"/>
      <c r="I13" s="6" t="inlineStr">
        <is>
          <t>新增任務（從 seed.json 同步）</t>
        </is>
      </c>
    </row>
    <row r="14" ht="32" customHeight="1">
      <c r="A14" s="13" t="inlineStr">
        <is>
          <t>2026-09-30 11:43</t>
        </is>
      </c>
      <c r="B14" s="13" t="inlineStr">
        <is>
          <t>R-09</t>
        </is>
      </c>
      <c r="C14" s="6" t="inlineStr">
        <is>
          <t>量產外殼（真空複模）</t>
        </is>
      </c>
      <c r="D14" s="13" t="n"/>
      <c r="E14" s="13" t="inlineStr">
        <is>
          <t>未開始</t>
        </is>
      </c>
      <c r="F14" s="13" t="n"/>
      <c r="G14" s="6" t="n"/>
      <c r="H14" s="13" t="n"/>
      <c r="I14" s="6" t="inlineStr">
        <is>
          <t>新增任務（從 seed.json 同步）</t>
        </is>
      </c>
    </row>
    <row r="15" ht="32" customHeight="1">
      <c r="A15" s="13" t="inlineStr">
        <is>
          <t>2026-09-30 11:43</t>
        </is>
      </c>
      <c r="B15" s="13" t="inlineStr">
        <is>
          <t>R-10</t>
        </is>
      </c>
      <c r="C15" s="6" t="inlineStr">
        <is>
          <t>出廠流程</t>
        </is>
      </c>
      <c r="D15" s="13" t="n"/>
      <c r="E15" s="13" t="inlineStr">
        <is>
          <t>未開始</t>
        </is>
      </c>
      <c r="F15" s="13" t="n"/>
      <c r="G15" s="6" t="n"/>
      <c r="H15" s="13" t="n"/>
      <c r="I15" s="6" t="inlineStr">
        <is>
          <t>新增任務（從 seed.json 同步）</t>
        </is>
      </c>
    </row>
    <row r="16" ht="32" customHeight="1">
      <c r="A16" s="13" t="inlineStr">
        <is>
          <t>2026-09-30 11:43</t>
        </is>
      </c>
      <c r="B16" s="13" t="inlineStr">
        <is>
          <t>R-11</t>
        </is>
      </c>
      <c r="C16" s="6" t="inlineStr">
        <is>
          <t>售後：客服、保修與換機</t>
        </is>
      </c>
      <c r="D16" s="13" t="n"/>
      <c r="E16" s="13" t="inlineStr">
        <is>
          <t>未開始</t>
        </is>
      </c>
      <c r="F16" s="13" t="n"/>
      <c r="G16" s="6" t="n"/>
      <c r="H16" s="13" t="n"/>
      <c r="I16" s="6" t="inlineStr">
        <is>
          <t>新增任務（從 seed.json 同步）</t>
        </is>
      </c>
    </row>
    <row r="17" ht="32" customHeight="1">
      <c r="A17" s="13" t="inlineStr">
        <is>
          <t>2026-09-30 11:43</t>
        </is>
      </c>
      <c r="B17" s="13" t="inlineStr">
        <is>
          <t>Q5</t>
        </is>
      </c>
      <c r="C17" s="6" t="inlineStr">
        <is>
          <t>孩子的目標年齡層是幾歲？</t>
        </is>
      </c>
      <c r="D17" s="13" t="n"/>
      <c r="E17" s="13" t="inlineStr">
        <is>
          <t>待回覆</t>
        </is>
      </c>
      <c r="F17" s="13" t="n"/>
      <c r="G17" s="6" t="n"/>
      <c r="H17" s="13" t="n"/>
      <c r="I17" s="6" t="inlineStr">
        <is>
          <t>新增待確認問題（從 seed.json 同步）</t>
        </is>
      </c>
    </row>
    <row r="18" ht="32" customHeight="1">
      <c r="A18" s="13" t="inlineStr">
        <is>
          <t>2026-09-30 11:43</t>
        </is>
      </c>
      <c r="B18" s="13" t="inlineStr">
        <is>
          <t>—</t>
        </is>
      </c>
      <c r="C18" s="6" t="inlineStr">
        <is>
          <t>同步表格</t>
        </is>
      </c>
      <c r="D18" s="13" t="n"/>
      <c r="E18" s="13" t="n"/>
      <c r="F18" s="13" t="n"/>
      <c r="G18" s="6" t="n"/>
      <c r="H18" s="13" t="n"/>
      <c r="I18" s="6" t="inlineStr">
        <is>
          <t>版面更新到最新版；新增 11 項任務、1 個問題；為 31 項任務填入階段</t>
        </is>
      </c>
    </row>
    <row r="19" ht="46" customHeight="1">
      <c r="A19" s="13" t="inlineStr">
        <is>
          <t>2026-09-30 11:43</t>
        </is>
      </c>
      <c r="B19" s="13" t="inlineStr">
        <is>
          <t>P0-01</t>
        </is>
      </c>
      <c r="C19" s="6" t="inlineStr">
        <is>
          <t>確認線上環境的暴露面</t>
        </is>
      </c>
      <c r="D19" s="13" t="inlineStr">
        <is>
          <t>未開始</t>
        </is>
      </c>
      <c r="E19" s="13" t="inlineStr">
        <is>
          <t>不適用</t>
        </is>
      </c>
      <c r="F19" s="13" t="n"/>
      <c r="G19" s="6" t="n"/>
      <c r="H19" s="13" t="n"/>
      <c r="I19" s="6" t="inlineStr">
        <is>
          <t>Q2：目前沒有真實家庭使用，緊急度已確定；線上驗證改為每項修復部署後各自做。</t>
        </is>
      </c>
    </row>
    <row r="20" ht="32" customHeight="1">
      <c r="A20" s="13" t="inlineStr">
        <is>
          <t>2026-09-30 11:43</t>
        </is>
      </c>
      <c r="B20" s="13" t="inlineStr">
        <is>
          <t>P1-08</t>
        </is>
      </c>
      <c r="C20" s="6" t="inlineStr">
        <is>
          <t>硬件認證</t>
        </is>
      </c>
      <c r="D20" s="13" t="inlineStr">
        <is>
          <t>未開始</t>
        </is>
      </c>
      <c r="E20" s="13" t="inlineStr">
        <is>
          <t>未開始</t>
        </is>
      </c>
      <c r="F20" s="13" t="n"/>
      <c r="G20" s="6" t="n"/>
      <c r="H20" s="13" t="n"/>
      <c r="I20" s="6" t="inlineStr">
        <is>
          <t>送測需要定案的板子和外殼樣品；修改了依賴→Q1, R-01, R-05</t>
        </is>
      </c>
    </row>
    <row r="21" ht="32" customHeight="1">
      <c r="A21" s="13" t="inlineStr">
        <is>
          <t>2026-09-30 11:43</t>
        </is>
      </c>
      <c r="B21" s="13" t="inlineStr">
        <is>
          <t>P0-14</t>
        </is>
      </c>
      <c r="C21" s="6" t="inlineStr">
        <is>
          <t>韌體簽章、Secure Boot 與 Flash 加密</t>
        </is>
      </c>
      <c r="D21" s="13" t="inlineStr">
        <is>
          <t>未開始</t>
        </is>
      </c>
      <c r="E21" s="13" t="inlineStr">
        <is>
          <t>未開始</t>
        </is>
      </c>
      <c r="F21" s="13" t="n"/>
      <c r="G21" s="6" t="n"/>
      <c r="H21" s="13" t="n"/>
      <c r="I21" s="6" t="inlineStr">
        <is>
          <t>Secure Boot 要在定案的板子上驗證；修改了依賴→P0-13, R-01</t>
        </is>
      </c>
    </row>
    <row r="22" ht="32" customHeight="1">
      <c r="A22" s="13" t="inlineStr">
        <is>
          <t>2026-09-30 11:46</t>
        </is>
      </c>
      <c r="B22" s="13" t="inlineStr">
        <is>
          <t>Q5</t>
        </is>
      </c>
      <c r="C22" s="6" t="inlineStr">
        <is>
          <t>孩子的目標年齡層是幾歲？</t>
        </is>
      </c>
      <c r="D22" s="13" t="inlineStr">
        <is>
          <t>待回覆</t>
        </is>
      </c>
      <c r="E22" s="13" t="inlineStr">
        <is>
          <t>已回覆</t>
        </is>
      </c>
      <c r="F22" s="13" t="n"/>
      <c r="G22" s="6" t="n"/>
      <c r="H22" s="13" t="n"/>
      <c r="I22" s="6" t="inlineStr">
        <is>
          <t>3–6 歲。</t>
        </is>
      </c>
    </row>
    <row r="23" ht="32" customHeight="1">
      <c r="A23" s="13" t="inlineStr">
        <is>
          <t>2026-09-30 11:46</t>
        </is>
      </c>
      <c r="B23" s="13" t="inlineStr">
        <is>
          <t>R-02</t>
        </is>
      </c>
      <c r="C23" s="6" t="inlineStr">
        <is>
          <t>角色收窄到 5–8 個粵語陪伴角色</t>
        </is>
      </c>
      <c r="D23" s="13" t="inlineStr">
        <is>
          <t>未開始</t>
        </is>
      </c>
      <c r="E23" s="13" t="inlineStr">
        <is>
          <t>未開始</t>
        </is>
      </c>
      <c r="F23" s="13" t="n"/>
      <c r="G23" s="6" t="n"/>
      <c r="H23" s="13" t="n"/>
      <c r="I23" s="6" t="inlineStr">
        <is>
          <t>Q5：3–6 歲；修改了驗收標準、測試方法</t>
        </is>
      </c>
    </row>
    <row r="24" ht="46" customHeight="1">
      <c r="A24" s="13" t="inlineStr">
        <is>
          <t>2026-09-30 11:46</t>
        </is>
      </c>
      <c r="B24" s="13" t="inlineStr">
        <is>
          <t>R-04</t>
        </is>
      </c>
      <c r="C24" s="6" t="inlineStr">
        <is>
          <t>粵語質量評測</t>
        </is>
      </c>
      <c r="D24" s="13" t="inlineStr">
        <is>
          <t>未開始</t>
        </is>
      </c>
      <c r="E24" s="13" t="inlineStr">
        <is>
          <t>未開始</t>
        </is>
      </c>
      <c r="F24" s="13" t="n"/>
      <c r="G24" s="6" t="n"/>
      <c r="H24" s="13" t="n"/>
      <c r="I24" s="6" t="inlineStr">
        <is>
          <t>Q5：3–6 歲；3 歲發音較不清，字錯率門檻可能要按首輪結果再討論；修改了測試方法</t>
        </is>
      </c>
    </row>
    <row r="25" ht="32" customHeight="1">
      <c r="A25" s="13" t="inlineStr">
        <is>
          <t>2026-09-30 11:46</t>
        </is>
      </c>
      <c r="B25" s="13" t="inlineStr">
        <is>
          <t>R-05</t>
        </is>
      </c>
      <c r="C25" s="6" t="inlineStr">
        <is>
          <t>內測版外殼（3D 打印 20 台）</t>
        </is>
      </c>
      <c r="D25" s="13" t="inlineStr">
        <is>
          <t>未開始</t>
        </is>
      </c>
      <c r="E25" s="13" t="inlineStr">
        <is>
          <t>未開始</t>
        </is>
      </c>
      <c r="F25" s="13" t="n"/>
      <c r="G25" s="6" t="n"/>
      <c r="H25" s="13" t="n"/>
      <c r="I25" s="6" t="inlineStr">
        <is>
          <t>Q5：3–6 歲；修改了測試方法</t>
        </is>
      </c>
    </row>
    <row r="26" ht="32" customHeight="1">
      <c r="A26" s="13" t="inlineStr">
        <is>
          <t>2026-09-30 11:50</t>
        </is>
      </c>
      <c r="B26" s="13" t="inlineStr">
        <is>
          <t>R-12</t>
        </is>
      </c>
      <c r="C26" s="6" t="inlineStr">
        <is>
          <t>家長控制：每日使用上限和休息時段</t>
        </is>
      </c>
      <c r="D26" s="13" t="n"/>
      <c r="E26" s="13" t="inlineStr">
        <is>
          <t>未開始</t>
        </is>
      </c>
      <c r="F26" s="13" t="n"/>
      <c r="G26" s="6" t="n"/>
      <c r="H26" s="13" t="n"/>
      <c r="I26" s="6" t="inlineStr">
        <is>
          <t>新增任務</t>
        </is>
      </c>
    </row>
    <row r="27" ht="32" customHeight="1">
      <c r="A27" s="13" t="inlineStr">
        <is>
          <t>2026-09-30 15:01</t>
        </is>
      </c>
      <c r="B27" s="13" t="inlineStr">
        <is>
          <t>P0-15</t>
        </is>
      </c>
      <c r="C27" s="6" t="inlineStr">
        <is>
          <t>角色表權限：只有內容管理員能發佈，關閉家長自建角色</t>
        </is>
      </c>
      <c r="D27" s="13" t="n"/>
      <c r="E27" s="13" t="inlineStr">
        <is>
          <t>未開始</t>
        </is>
      </c>
      <c r="F27" s="13" t="n"/>
      <c r="G27" s="6" t="n"/>
      <c r="H27" s="13" t="n"/>
      <c r="I27" s="6" t="inlineStr">
        <is>
          <t>新增任務</t>
        </is>
      </c>
    </row>
    <row r="28" ht="32" customHeight="1">
      <c r="A28" s="13" t="inlineStr">
        <is>
          <t>2026-09-30 15:01</t>
        </is>
      </c>
      <c r="B28" s="13" t="inlineStr">
        <is>
          <t>P0-16</t>
        </is>
      </c>
      <c r="C28" s="6" t="inlineStr">
        <is>
          <t>移除「醫生」身份與寫死的通關碼</t>
        </is>
      </c>
      <c r="D28" s="13" t="n"/>
      <c r="E28" s="13" t="inlineStr">
        <is>
          <t>未開始</t>
        </is>
      </c>
      <c r="F28" s="13" t="n"/>
      <c r="G28" s="6" t="n"/>
      <c r="H28" s="13" t="n"/>
      <c r="I28" s="6" t="inlineStr">
        <is>
          <t>新增任務</t>
        </is>
      </c>
    </row>
    <row r="29" ht="32" customHeight="1">
      <c r="A29" s="13" t="inlineStr">
        <is>
          <t>2026-09-30 15:01</t>
        </is>
      </c>
      <c r="B29" s="13" t="inlineStr">
        <is>
          <t>P1-09</t>
        </is>
      </c>
      <c r="C29" s="6" t="inlineStr">
        <is>
          <t>家長鎖：孩子模式進設定要輸入 PIN</t>
        </is>
      </c>
      <c r="D29" s="13" t="n"/>
      <c r="E29" s="13" t="inlineStr">
        <is>
          <t>未開始</t>
        </is>
      </c>
      <c r="F29" s="13" t="n"/>
      <c r="G29" s="6" t="n"/>
      <c r="H29" s="13" t="n"/>
      <c r="I29" s="6" t="inlineStr">
        <is>
          <t>新增任務</t>
        </is>
      </c>
    </row>
    <row r="30" ht="32" customHeight="1">
      <c r="A30" s="13" t="inlineStr">
        <is>
          <t>2026-09-30 15:01</t>
        </is>
      </c>
      <c r="B30" s="13" t="inlineStr">
        <is>
          <t>P1-10</t>
        </is>
      </c>
      <c r="C30" s="6" t="inlineStr">
        <is>
          <t>管理操作審計記錄</t>
        </is>
      </c>
      <c r="D30" s="13" t="n"/>
      <c r="E30" s="13" t="inlineStr">
        <is>
          <t>未開始</t>
        </is>
      </c>
      <c r="F30" s="13" t="n"/>
      <c r="G30" s="6" t="n"/>
      <c r="H30" s="13" t="n"/>
      <c r="I30" s="6" t="inlineStr">
        <is>
          <t>新增任務</t>
        </is>
      </c>
    </row>
    <row r="31" ht="32" customHeight="1">
      <c r="A31" s="13" t="inlineStr">
        <is>
          <t>2026-09-30 15:01</t>
        </is>
      </c>
      <c r="B31" s="13" t="inlineStr">
        <is>
          <t>P1-11</t>
        </is>
      </c>
      <c r="C31" s="6" t="inlineStr">
        <is>
          <t>伺服器與資料庫直接存取的管控</t>
        </is>
      </c>
      <c r="D31" s="13" t="n"/>
      <c r="E31" s="13" t="inlineStr">
        <is>
          <t>未開始</t>
        </is>
      </c>
      <c r="F31" s="13" t="n"/>
      <c r="G31" s="6" t="n"/>
      <c r="H31" s="13" t="n"/>
      <c r="I31" s="6" t="inlineStr">
        <is>
          <t>新增任務</t>
        </is>
      </c>
    </row>
    <row r="32" ht="32" customHeight="1">
      <c r="A32" s="13" t="inlineStr">
        <is>
          <t>2026-09-30 15:01</t>
        </is>
      </c>
      <c r="B32" s="13" t="inlineStr">
        <is>
          <t>P0-12</t>
        </is>
      </c>
      <c r="C32" s="6" t="inlineStr">
        <is>
          <t>收緊 Admin 權限與路由保護</t>
        </is>
      </c>
      <c r="D32" s="13" t="inlineStr">
        <is>
          <t>未開始</t>
        </is>
      </c>
      <c r="E32" s="13" t="inlineStr">
        <is>
          <t>未開始</t>
        </is>
      </c>
      <c r="F32" s="13" t="n"/>
      <c r="G32" s="6" t="n"/>
      <c r="H32" s="13" t="n"/>
      <c r="I32" s="6" t="inlineStr">
        <is>
          <t>權限設計討論後擴大範圍：見 Q7、Q9；修改了驗收標準、測試方法</t>
        </is>
      </c>
    </row>
    <row r="33" ht="32" customHeight="1">
      <c r="A33" s="13" t="inlineStr">
        <is>
          <t>2026-09-30 15:01</t>
        </is>
      </c>
      <c r="B33" s="13" t="inlineStr">
        <is>
          <t>P1-01</t>
        </is>
      </c>
      <c r="C33" s="6" t="inlineStr">
        <is>
          <t>加入內容審核層（輸入與輸出）</t>
        </is>
      </c>
      <c r="D33" s="13" t="inlineStr">
        <is>
          <t>未開始</t>
        </is>
      </c>
      <c r="E33" s="13" t="inlineStr">
        <is>
          <t>未開始</t>
        </is>
      </c>
      <c r="F33" s="13" t="n"/>
      <c r="G33" s="6" t="n"/>
      <c r="H33" s="13" t="n"/>
      <c r="I33" s="6" t="inlineStr">
        <is>
          <t>Q5：3–6 歲；Q7：事件不記原文；修改了驗收標準、測試方法</t>
        </is>
      </c>
    </row>
    <row r="34" ht="88" customHeight="1">
      <c r="A34" s="13" t="inlineStr">
        <is>
          <t>2026-09-30 15:01</t>
        </is>
      </c>
      <c r="B34" s="13" t="inlineStr">
        <is>
          <t>R-07</t>
        </is>
      </c>
      <c r="C34" s="6" t="inlineStr">
        <is>
          <t>20 個家庭封閉內測</t>
        </is>
      </c>
      <c r="D34" s="13" t="inlineStr">
        <is>
          <t>未開始</t>
        </is>
      </c>
      <c r="E34" s="13" t="inlineStr">
        <is>
          <t>未開始</t>
        </is>
      </c>
      <c r="F34" s="13" t="n"/>
      <c r="G34" s="6" t="n"/>
      <c r="H34" s="13" t="n"/>
      <c r="I34" s="6" t="inlineStr">
        <is>
          <t>新的權限項也要在內測前完成；修改了依賴→P0-02, P0-03, P0-04, P0-05, P0-06, P0-07, P0-08, P0-09, P0-10, P0-11, P0-12, P0-13, P1-01, P1-02, P2-09, R-01, R-02, R-04, R-05, R-06, P0-15, P0-16, P1-09, P1-11</t>
        </is>
      </c>
    </row>
    <row r="35" ht="32" customHeight="1">
      <c r="A35" s="13" t="inlineStr">
        <is>
          <t>2026-09-30 15:01</t>
        </is>
      </c>
      <c r="B35" s="13" t="inlineStr">
        <is>
          <t>R-11</t>
        </is>
      </c>
      <c r="C35" s="6" t="inlineStr">
        <is>
          <t>售後：客服、保修與換機</t>
        </is>
      </c>
      <c r="D35" s="13" t="inlineStr">
        <is>
          <t>未開始</t>
        </is>
      </c>
      <c r="E35" s="13" t="inlineStr">
        <is>
          <t>未開始</t>
        </is>
      </c>
      <c r="F35" s="13" t="n"/>
      <c r="G35" s="6" t="n"/>
      <c r="H35" s="13" t="n"/>
      <c r="I35" s="6" t="inlineStr">
        <is>
          <t>v1 沒有客服角色，售後工具由超級管理員使用（Q9）</t>
        </is>
      </c>
    </row>
    <row r="36" ht="32" customHeight="1">
      <c r="A36" s="13" t="inlineStr">
        <is>
          <t>2026-09-30 15:01</t>
        </is>
      </c>
      <c r="B36" s="13" t="inlineStr">
        <is>
          <t>Q6</t>
        </is>
      </c>
      <c r="C36" s="6" t="inlineStr">
        <is>
          <t>家長可以自己建立角色嗎？</t>
        </is>
      </c>
      <c r="D36" s="13" t="n"/>
      <c r="E36" s="13" t="inlineStr">
        <is>
          <t>待回覆</t>
        </is>
      </c>
      <c r="F36" s="13" t="n"/>
      <c r="G36" s="6" t="n"/>
      <c r="H36" s="13" t="n"/>
      <c r="I36" s="6" t="inlineStr">
        <is>
          <t>新增待確認問題</t>
        </is>
      </c>
    </row>
    <row r="37" ht="32" customHeight="1">
      <c r="A37" s="13" t="inlineStr">
        <is>
          <t>2026-09-30 15:01</t>
        </is>
      </c>
      <c r="B37" s="13" t="inlineStr">
        <is>
          <t>Q6</t>
        </is>
      </c>
      <c r="C37" s="6" t="inlineStr">
        <is>
          <t>家長可以自己建立角色嗎？</t>
        </is>
      </c>
      <c r="D37" s="13" t="inlineStr">
        <is>
          <t>待回覆</t>
        </is>
      </c>
      <c r="E37" s="13" t="inlineStr">
        <is>
          <t>已回覆</t>
        </is>
      </c>
      <c r="F37" s="13" t="n"/>
      <c r="G37" s="6" t="n"/>
      <c r="H37" s="13" t="n"/>
      <c r="I37" s="6" t="inlineStr">
        <is>
          <t>v1 關閉，只用內容管理員管理的精選角色。</t>
        </is>
      </c>
    </row>
    <row r="38" ht="32" customHeight="1">
      <c r="A38" s="13" t="inlineStr">
        <is>
          <t>2026-09-30 15:01</t>
        </is>
      </c>
      <c r="B38" s="13" t="inlineStr">
        <is>
          <t>Q7</t>
        </is>
      </c>
      <c r="C38" s="6" t="inlineStr">
        <is>
          <t>管理員能不能看孩子的對話和記憶？</t>
        </is>
      </c>
      <c r="D38" s="13" t="n"/>
      <c r="E38" s="13" t="inlineStr">
        <is>
          <t>待回覆</t>
        </is>
      </c>
      <c r="F38" s="13" t="n"/>
      <c r="G38" s="6" t="n"/>
      <c r="H38" s="13" t="n"/>
      <c r="I38" s="6" t="inlineStr">
        <is>
          <t>新增待確認問題</t>
        </is>
      </c>
    </row>
    <row r="39" ht="32" customHeight="1">
      <c r="A39" s="13" t="inlineStr">
        <is>
          <t>2026-09-30 15:01</t>
        </is>
      </c>
      <c r="B39" s="13" t="inlineStr">
        <is>
          <t>Q7</t>
        </is>
      </c>
      <c r="C39" s="6" t="inlineStr">
        <is>
          <t>管理員能不能看孩子的對話和記憶？</t>
        </is>
      </c>
      <c r="D39" s="13" t="inlineStr">
        <is>
          <t>待回覆</t>
        </is>
      </c>
      <c r="E39" s="13" t="inlineStr">
        <is>
          <t>已回覆</t>
        </is>
      </c>
      <c r="F39" s="13" t="n"/>
      <c r="G39" s="6" t="n"/>
      <c r="H39" s="13" t="n"/>
      <c r="I39" s="6" t="inlineStr">
        <is>
          <t>完全不能：網頁管理端和資料庫權限都不給；審核事件只記類別，不記原文。</t>
        </is>
      </c>
    </row>
    <row r="40" ht="32" customHeight="1">
      <c r="A40" s="13" t="inlineStr">
        <is>
          <t>2026-09-30 15:01</t>
        </is>
      </c>
      <c r="B40" s="13" t="inlineStr">
        <is>
          <t>Q8</t>
        </is>
      </c>
      <c r="C40" s="6" t="inlineStr">
        <is>
          <t>一個家庭帳號的結構？</t>
        </is>
      </c>
      <c r="D40" s="13" t="n"/>
      <c r="E40" s="13" t="inlineStr">
        <is>
          <t>待回覆</t>
        </is>
      </c>
      <c r="F40" s="13" t="n"/>
      <c r="G40" s="6" t="n"/>
      <c r="H40" s="13" t="n"/>
      <c r="I40" s="6" t="inlineStr">
        <is>
          <t>新增待確認問題</t>
        </is>
      </c>
    </row>
    <row r="41" ht="32" customHeight="1">
      <c r="A41" s="13" t="inlineStr">
        <is>
          <t>2026-09-30 15:01</t>
        </is>
      </c>
      <c r="B41" s="13" t="inlineStr">
        <is>
          <t>Q8</t>
        </is>
      </c>
      <c r="C41" s="6" t="inlineStr">
        <is>
          <t>一個家庭帳號的結構？</t>
        </is>
      </c>
      <c r="D41" s="13" t="inlineStr">
        <is>
          <t>待回覆</t>
        </is>
      </c>
      <c r="E41" s="13" t="inlineStr">
        <is>
          <t>已回覆</t>
        </is>
      </c>
      <c r="F41" s="13" t="n"/>
      <c r="G41" s="6" t="n"/>
      <c r="H41" s="13" t="n"/>
      <c r="I41" s="6" t="inlineStr">
        <is>
          <t>v1 維持 1 個家長帳號、1 個孩子、1 台設備。</t>
        </is>
      </c>
    </row>
    <row r="42" ht="32" customHeight="1">
      <c r="A42" s="13" t="inlineStr">
        <is>
          <t>2026-09-30 15:01</t>
        </is>
      </c>
      <c r="B42" s="13" t="inlineStr">
        <is>
          <t>Q9</t>
        </is>
      </c>
      <c r="C42" s="6" t="inlineStr">
        <is>
          <t>管理員分幾種角色？</t>
        </is>
      </c>
      <c r="D42" s="13" t="n"/>
      <c r="E42" s="13" t="inlineStr">
        <is>
          <t>待回覆</t>
        </is>
      </c>
      <c r="F42" s="13" t="n"/>
      <c r="G42" s="6" t="n"/>
      <c r="H42" s="13" t="n"/>
      <c r="I42" s="6" t="inlineStr">
        <is>
          <t>新增待確認問題</t>
        </is>
      </c>
    </row>
    <row r="43" ht="46" customHeight="1">
      <c r="A43" s="13" t="inlineStr">
        <is>
          <t>2026-09-30 15:01</t>
        </is>
      </c>
      <c r="B43" s="13" t="inlineStr">
        <is>
          <t>Q9</t>
        </is>
      </c>
      <c r="C43" s="6" t="inlineStr">
        <is>
          <t>管理員分幾種角色？</t>
        </is>
      </c>
      <c r="D43" s="13" t="inlineStr">
        <is>
          <t>待回覆</t>
        </is>
      </c>
      <c r="E43" s="13" t="inlineStr">
        <is>
          <t>已回覆</t>
        </is>
      </c>
      <c r="F43" s="13" t="n"/>
      <c r="G43" s="6" t="n"/>
      <c r="H43" s="13" t="n"/>
      <c r="I43" s="6" t="inlineStr">
        <is>
          <t>v1 兩種：超級管理員、內容管理員。客服工具照做，暫由超級管理員使用；客服角色之後有需要再加。</t>
        </is>
      </c>
    </row>
    <row r="44" ht="32" customHeight="1">
      <c r="A44" s="13" t="inlineStr">
        <is>
          <t>2026-10-05 09:40</t>
        </is>
      </c>
      <c r="B44" s="13" t="inlineStr">
        <is>
          <t>—</t>
        </is>
      </c>
      <c r="C44" s="6" t="inlineStr">
        <is>
          <t>同步表格</t>
        </is>
      </c>
      <c r="I44" s="6" t="inlineStr">
        <is>
          <t>版面更新到最新版；新增 0 項任務、0 個問題；為 0 項任務填入階段</t>
        </is>
      </c>
    </row>
    <row r="45" ht="32" customHeight="1">
      <c r="A45" s="13" t="inlineStr">
        <is>
          <t>2026-10-05 09:40</t>
        </is>
      </c>
      <c r="B45" s="13" t="inlineStr">
        <is>
          <t>R-13</t>
        </is>
      </c>
      <c r="C45" s="6" t="inlineStr">
        <is>
          <t>CP1 內測就緒檢查（10/30）</t>
        </is>
      </c>
      <c r="E45" s="13" t="inlineStr">
        <is>
          <t>未開始</t>
        </is>
      </c>
      <c r="I45" s="6" t="inlineStr">
        <is>
          <t>新增任務</t>
        </is>
      </c>
    </row>
    <row r="46" ht="32" customHeight="1">
      <c r="A46" s="13" t="inlineStr">
        <is>
          <t>2026-10-05 09:40</t>
        </is>
      </c>
      <c r="B46" s="13" t="inlineStr">
        <is>
          <t>R-14</t>
        </is>
      </c>
      <c r="C46" s="6" t="inlineStr">
        <is>
          <t>離線兒歌與故事</t>
        </is>
      </c>
      <c r="E46" s="13" t="inlineStr">
        <is>
          <t>未開始</t>
        </is>
      </c>
      <c r="I46" s="6" t="inlineStr">
        <is>
          <t>新增任務</t>
        </is>
      </c>
    </row>
    <row r="47" ht="32" customHeight="1">
      <c r="A47" s="13" t="inlineStr">
        <is>
          <t>2026-10-05 09:40</t>
        </is>
      </c>
      <c r="B47" s="13" t="inlineStr">
        <is>
          <t>R-15</t>
        </is>
      </c>
      <c r="C47" s="6" t="inlineStr">
        <is>
          <t>農曆新年前交付（生產 1/15、送達 1/29）</t>
        </is>
      </c>
      <c r="E47" s="13" t="inlineStr">
        <is>
          <t>未開始</t>
        </is>
      </c>
      <c r="I47" s="6" t="inlineStr">
        <is>
          <t>新增任務</t>
        </is>
      </c>
    </row>
    <row r="48" ht="32" customHeight="1">
      <c r="A48" s="13" t="inlineStr">
        <is>
          <t>2026-10-05 09:40</t>
        </is>
      </c>
      <c r="B48" s="13" t="inlineStr">
        <is>
          <t>R-07</t>
        </is>
      </c>
      <c r="C48" s="6" t="inlineStr">
        <is>
          <t>20 個家庭封閉內測</t>
        </is>
      </c>
      <c r="D48" s="13" t="inlineStr">
        <is>
          <t>未開始</t>
        </is>
      </c>
      <c r="E48" s="13" t="inlineStr">
        <is>
          <t>未開始</t>
        </is>
      </c>
      <c r="F48" s="13" t="n"/>
      <c r="G48" s="6" t="n"/>
      <c r="H48" s="13" t="n"/>
      <c r="I48" s="6" t="inlineStr">
        <is>
          <t>改為以 CP1（R-13）把關：R-13 已涵蓋原有全部依賴。；修改了依賴→R-13</t>
        </is>
      </c>
    </row>
    <row r="49" ht="46" customHeight="1">
      <c r="A49" s="13" t="inlineStr">
        <is>
          <t>2026-10-05 09:40</t>
        </is>
      </c>
      <c r="B49" s="13" t="inlineStr">
        <is>
          <t>R-08</t>
        </is>
      </c>
      <c r="C49" s="6" t="inlineStr">
        <is>
          <t>第 8 週關卡決策</t>
        </is>
      </c>
      <c r="D49" s="13" t="inlineStr">
        <is>
          <t>未開始</t>
        </is>
      </c>
      <c r="E49" s="13" t="inlineStr">
        <is>
          <t>未開始</t>
        </is>
      </c>
      <c r="F49" s="13" t="n"/>
      <c r="G49" s="6" t="n"/>
      <c r="H49" s="13" t="n"/>
      <c r="I49" s="6" t="inlineStr">
        <is>
          <t>2026-10-05：定為 CP2；收費方式已定為一次性付款、不收月費。；修改了驗收標準、依賴→R-07, P2-09, P1-08</t>
        </is>
      </c>
    </row>
    <row r="50" ht="46" customHeight="1">
      <c r="A50" s="13" t="inlineStr">
        <is>
          <t>2026-10-05 09:40</t>
        </is>
      </c>
      <c r="B50" s="13" t="inlineStr">
        <is>
          <t>R-01</t>
        </is>
      </c>
      <c r="C50" s="6" t="inlineStr">
        <is>
          <t>選定量產板子</t>
        </is>
      </c>
      <c r="D50" s="13" t="inlineStr">
        <is>
          <t>未開始</t>
        </is>
      </c>
      <c r="E50" s="13" t="inlineStr">
        <is>
          <t>未開始</t>
        </is>
      </c>
      <c r="F50" s="13" t="n"/>
      <c r="G50" s="6" t="n"/>
      <c r="H50" s="13" t="n"/>
      <c r="I50" s="6" t="inlineStr">
        <is>
          <t>2026-10-05：期限由「最遲 10/30」收緊為 10/16，外殼、認證、生產都在等這個決定。；修改了驗收標準</t>
        </is>
      </c>
    </row>
    <row r="51" ht="32" customHeight="1">
      <c r="A51" s="13" t="inlineStr">
        <is>
          <t>2026-10-05 16:58</t>
        </is>
      </c>
      <c r="B51" s="13" t="inlineStr">
        <is>
          <t>R-01</t>
        </is>
      </c>
      <c r="C51" s="6" t="inlineStr">
        <is>
          <t>選定量產板子</t>
        </is>
      </c>
      <c r="D51" s="13" t="inlineStr">
        <is>
          <t>未開始</t>
        </is>
      </c>
      <c r="E51" s="13" t="inlineStr">
        <is>
          <t>進行中</t>
        </is>
      </c>
      <c r="F51" s="13" t="n"/>
      <c r="G51" s="6" t="n"/>
      <c r="H51" s="13" t="n"/>
      <c r="I51" s="6" t="n"/>
    </row>
    <row r="52" ht="172" customHeight="1">
      <c r="A52" s="13" t="inlineStr">
        <is>
          <t>2026-10-05 16:58</t>
        </is>
      </c>
      <c r="B52" s="13" t="inlineStr">
        <is>
          <t>R-01</t>
        </is>
      </c>
      <c r="C52" s="6" t="inlineStr">
        <is>
          <t>選定量產板子</t>
        </is>
      </c>
      <c r="D52" s="13" t="inlineStr">
        <is>
          <t>進行中</t>
        </is>
      </c>
      <c r="E52" s="13" t="inlineStr">
        <is>
          <t>進行中</t>
        </is>
      </c>
      <c r="F52" s="13" t="n"/>
      <c r="G52" s="6" t="n"/>
      <c r="H52" s="13" t="n"/>
      <c r="I52" s="6" t="inlineStr">
        <is>
          <t>2026-10-05：候選板 toy-ai-core-c3-1.54（ESP32-C3、16MB、無 PSRAM）已到貨並移植，env toy-ai-core-c3，引腳由原廠固件反彙編取得（不在小智官方倉庫），原廠固件已整片備份。實測：開機、ES8311 雙向、喇叭出聲、WS2812 狀態燈、SoftAP；WiFi 開啟後內部 RAM 空閒 73KB／最大塊 53KB（未對話）。評分表尚未測：①②⑤⑥⑦；③原廠固件無電池檢測代碼，可能沒有電池；④本版不休眠；⑧有 1.54 寸 ST7789 屏，本版未驅動。</t>
        </is>
      </c>
    </row>
    <row r="53" ht="158" customHeight="1">
      <c r="A53" s="13" t="inlineStr">
        <is>
          <t>2026-10-05 17:57</t>
        </is>
      </c>
      <c r="B53" s="13" t="inlineStr">
        <is>
          <t>R-01</t>
        </is>
      </c>
      <c r="C53" s="6" t="inlineStr">
        <is>
          <t>選定量產板子</t>
        </is>
      </c>
      <c r="D53" s="13" t="inlineStr">
        <is>
          <t>進行中</t>
        </is>
      </c>
      <c r="E53" s="13" t="inlineStr">
        <is>
          <t>進行中</t>
        </is>
      </c>
      <c r="F53" s="13" t="n"/>
      <c r="G53" s="6" t="n"/>
      <c r="H53" s="13" t="n"/>
      <c r="I53" s="6" t="inlineStr">
        <is>
          <t>2026-10-05 補充 toy-ai-core-c3 評分表③：板上已裝電池，但讀不到電量。原廠固件的 GetBatteryLevel 直接 return false；C3 能做 ADC 的腳只有 GPIO0–5，全被屏幕(0/1)、LED(2)、I2C(3/4)、I2S(5) 佔用，所以軟件無法讀電池電壓。要讀電量需改硬件：無屏版可把屏幕的 GPIO0/1 讓出來接分壓電阻，或在現有 I2C 上加電量計（如 MAX17048）。GPIO12/13 尚空，可能接了充電狀態腳，未探測。</t>
        </is>
      </c>
    </row>
    <row r="54" ht="32" customHeight="1">
      <c r="A54" s="13" t="inlineStr">
        <is>
          <t>2026-10-05 18:05</t>
        </is>
      </c>
      <c r="B54" s="13" t="inlineStr">
        <is>
          <t>R-16</t>
        </is>
      </c>
      <c r="C54" s="6" t="inlineStr">
        <is>
          <t>Spotpear 量產版加電池電壓檢測（GPIO0 分壓）</t>
        </is>
      </c>
      <c r="E54" s="13" t="inlineStr">
        <is>
          <t>未開始</t>
        </is>
      </c>
      <c r="I54" s="6" t="inlineStr">
        <is>
          <t>新增任務</t>
        </is>
      </c>
    </row>
    <row r="55" ht="74" customHeight="1">
      <c r="A55" s="13" t="inlineStr">
        <is>
          <t>2026-10-05 18:05</t>
        </is>
      </c>
      <c r="B55" s="13" t="inlineStr">
        <is>
          <t>R-01</t>
        </is>
      </c>
      <c r="C55" s="6" t="inlineStr">
        <is>
          <t>選定量產板子</t>
        </is>
      </c>
      <c r="D55" s="13" t="inlineStr">
        <is>
          <t>進行中</t>
        </is>
      </c>
      <c r="E55" s="13" t="inlineStr">
        <is>
          <t>進行中</t>
        </is>
      </c>
      <c r="F55" s="13" t="n"/>
      <c r="G55" s="6" t="n"/>
      <c r="H55" s="13" t="n"/>
      <c r="I55" s="6" t="inlineStr">
        <is>
          <t>2026-10-05：用戶表示 Spotpear AI Toy（即 toy-ai-core-c3-1.54，env 改名 spotpear-ai-toy）大概率就是量產板；已和用戶跑通 app 綁定和完整對話。電池檢測的改板要求另立任務。</t>
        </is>
      </c>
    </row>
    <row r="56" ht="144" customHeight="1">
      <c r="A56" s="13" t="inlineStr">
        <is>
          <t>2026-10-06 15:21</t>
        </is>
      </c>
      <c r="B56" s="13" t="inlineStr">
        <is>
          <t>R-16</t>
        </is>
      </c>
      <c r="C56" s="6" t="inlineStr">
        <is>
          <t>Spotpear 量產版加電池電壓檢測（GPIO0 分壓）</t>
        </is>
      </c>
      <c r="D56" s="13" t="inlineStr">
        <is>
          <t>未開始</t>
        </is>
      </c>
      <c r="E56" s="13" t="inlineStr">
        <is>
          <t>未開始</t>
        </is>
      </c>
      <c r="F56" s="13" t="n"/>
      <c r="G56" s="6" t="n"/>
      <c r="H56" s="13" t="n"/>
      <c r="I56" s="6" t="inlineStr">
        <is>
          <t>2026-10-06：用戶表示不需要精確電量，快沒電時提醒即可，也無法自行焊接。改為軟件方案：讀芯片自身供電（GPIO0 內部上下拉分壓，SupplyMonitor.cpp），讀數跌破基準 95.5% 就亮紅燈並播廣東話提醒。已用強制低電量測試版驗證：提醒能播出、紅燈正常。本任務（硬件分壓）暫緩，等充滿再放電的實測：若提醒太遲或不觸發才向 Spotpear 提出。</t>
        </is>
      </c>
    </row>
    <row r="57" ht="32" customHeight="1">
      <c r="A57" s="13" t="inlineStr">
        <is>
          <t>2026-10-06 15:21</t>
        </is>
      </c>
      <c r="B57" s="13" t="inlineStr">
        <is>
          <t>R-17</t>
        </is>
      </c>
      <c r="C57" s="6" t="inlineStr">
        <is>
          <t>Spotpear 電池耗盡時插電能否正常開機（供電路徑）</t>
        </is>
      </c>
      <c r="E57" s="13" t="inlineStr">
        <is>
          <t>未開始</t>
        </is>
      </c>
      <c r="I57" s="6" t="inlineStr">
        <is>
          <t>新增任務</t>
        </is>
      </c>
    </row>
    <row r="58" ht="60" customHeight="1">
      <c r="A58" s="13" t="inlineStr">
        <is>
          <t>2026-10-06 17:52</t>
        </is>
      </c>
      <c r="B58" s="13" t="inlineStr">
        <is>
          <t>P2-03</t>
        </is>
      </c>
      <c r="C58" s="6" t="inlineStr">
        <is>
          <t>提交目前未提交的改動</t>
        </is>
      </c>
      <c r="D58" s="13" t="inlineStr">
        <is>
          <t>未開始</t>
        </is>
      </c>
      <c r="E58" s="13" t="inlineStr">
        <is>
          <t>已完成</t>
        </is>
      </c>
      <c r="F58" s="13" t="inlineStr">
        <is>
          <t>通過</t>
        </is>
      </c>
      <c r="G58" s="6" t="inlineStr">
        <is>
          <t>git status --short → 0 行；3bc7119..b322375 按主題拆成 5 個 commit（50 檔：xmini-c3 電量、facts 記憶層、日期時間天氣、BEAM 評測、進度追蹤）；git ls-remote mygithub main = HEAD = b322375</t>
        </is>
      </c>
      <c r="H58" s="13" t="inlineStr">
        <is>
          <t>b322375</t>
        </is>
      </c>
      <c r="I58" s="6" t="n"/>
    </row>
    <row r="59" ht="144" customHeight="1">
      <c r="A59" s="13" t="inlineStr">
        <is>
          <t>2026-10-07 10:23</t>
        </is>
      </c>
      <c r="B59" s="13" t="inlineStr">
        <is>
          <t>R-02</t>
        </is>
      </c>
      <c r="C59" s="6" t="inlineStr">
        <is>
          <t>角色收窄到 5–8 個粵語陪伴角色</t>
        </is>
      </c>
      <c r="D59" s="13" t="inlineStr">
        <is>
          <t>未開始</t>
        </is>
      </c>
      <c r="E59" s="13" t="inlineStr">
        <is>
          <t>未開始</t>
        </is>
      </c>
      <c r="F59" s="13" t="n"/>
      <c r="G59" s="6" t="n"/>
      <c r="H59" s="13" t="n"/>
      <c r="I59" s="6" t="inlineStr">
        <is>
          <t>每個角色現可按語言設定 MiniMax 聲線（personalities.voices，admin 角色頁有廣東話/普通話欄；commit 9557ce5，per-language-voices branch，未 push、雲端 migration 未 apply）。選定角色時可給每個角色一把不同的 Cantonese_* 聲線；MiniMax 只有 6 把粵語聲（男聲僅 PlayfulMan、ProfessionalHost（M)）。本地 AI Hulk/Iron Man 已設粵語聲並實際合成成功。</t>
        </is>
      </c>
    </row>
    <row r="60" ht="32" customHeight="1">
      <c r="A60" s="13" t="inlineStr">
        <is>
          <t>2026-10-07 11:59</t>
        </is>
      </c>
      <c r="B60" s="13" t="inlineStr">
        <is>
          <t>P0-15</t>
        </is>
      </c>
      <c r="C60" s="6" t="inlineStr">
        <is>
          <t>角色表權限：只有內容管理員能發佈，關閉家長自建角色</t>
        </is>
      </c>
      <c r="D60" s="13" t="inlineStr">
        <is>
          <t>未開始</t>
        </is>
      </c>
      <c r="E60" s="13" t="inlineStr">
        <is>
          <t>進行中</t>
        </is>
      </c>
      <c r="F60" s="13" t="n"/>
      <c r="G60" s="6" t="n"/>
      <c r="H60" s="13" t="n"/>
      <c r="I60" s="6" t="n"/>
    </row>
    <row r="61" ht="130" customHeight="1">
      <c r="A61" s="13" t="inlineStr">
        <is>
          <t>2026-10-07 11:59</t>
        </is>
      </c>
      <c r="B61" s="13" t="inlineStr">
        <is>
          <t>P0-15</t>
        </is>
      </c>
      <c r="C61" s="6" t="inlineStr">
        <is>
          <t>角色表權限：只有內容管理員能發佈，關閉家長自建角色</t>
        </is>
      </c>
      <c r="D61" s="13" t="inlineStr">
        <is>
          <t>進行中</t>
        </is>
      </c>
      <c r="E61" s="13" t="inlineStr">
        <is>
          <t>進行中</t>
        </is>
      </c>
      <c r="F61" s="13" t="inlineStr">
        <is>
          <t>部分通過</t>
        </is>
      </c>
      <c r="G61" s="6" t="inlineStr">
        <is>
          <t>① 本機 BEGIN/ROLLBACK：修補前 authenticated INSERT creator_id NULL 成功；套 20261007140000 後 authenticated/anon INSERT、UPDATE、TRUNCATE 均 permission denied，SELECT 仍見 42 行，service_role 照常寫入。④ /home/create 改為 redirect /home、移除 + 與側欄入口（tsc 通過，未在瀏覽器驗證）。未做：② 隱藏/他人自建角色仍可讀（SELECT USING true）；③ 未經 has_role 把關（等 P0-12）；現有家長自建角色未設為隱藏。</t>
        </is>
      </c>
      <c r="H61" s="13" t="inlineStr">
        <is>
          <t>65ddb31</t>
        </is>
      </c>
      <c r="I61" s="6" t="inlineStr">
        <is>
          <t>分支 lock-character-writes（65ddb31 RLS、f3aafdd 撤 /home/create），未 merge、未套用到生產</t>
        </is>
      </c>
    </row>
    <row r="62" ht="46" customHeight="1">
      <c r="A62" s="13" t="inlineStr">
        <is>
          <t>2026-10-07 12:04</t>
        </is>
      </c>
      <c r="B62" s="13" t="inlineStr">
        <is>
          <t>P0-15</t>
        </is>
      </c>
      <c r="C62" s="6" t="inlineStr">
        <is>
          <t>角色表權限：只有內容管理員能發佈，關閉家長自建角色</t>
        </is>
      </c>
      <c r="D62" s="13" t="inlineStr">
        <is>
          <t>進行中</t>
        </is>
      </c>
      <c r="E62" s="13" t="inlineStr">
        <is>
          <t>進行中</t>
        </is>
      </c>
      <c r="F62" s="13" t="n"/>
      <c r="G62" s="6" t="n"/>
      <c r="H62" s="13" t="n"/>
      <c r="I62" s="6" t="inlineStr">
        <is>
          <t>2026-10-07 用戶決定：現有家長自建角色暫時保留，不設為隱藏，驗收標準相應修改；修改了驗收標準</t>
        </is>
      </c>
    </row>
    <row r="63" ht="88" customHeight="1">
      <c r="A63" s="13" t="inlineStr">
        <is>
          <t>2026-10-07 12:17</t>
        </is>
      </c>
      <c r="B63" s="13" t="inlineStr">
        <is>
          <t>R-01</t>
        </is>
      </c>
      <c r="C63" s="6" t="inlineStr">
        <is>
          <t>選定量產板子</t>
        </is>
      </c>
      <c r="D63" s="13" t="inlineStr">
        <is>
          <t>進行中</t>
        </is>
      </c>
      <c r="E63" s="13" t="inlineStr">
        <is>
          <t>進行中</t>
        </is>
      </c>
      <c r="F63" s="13" t="n"/>
      <c r="G63" s="6" t="n"/>
      <c r="H63" s="13" t="n"/>
      <c r="I63" s="6" t="inlineStr">
        <is>
          <t>2026-10-07：用戶定案 Spotpear AI Toy（toy-ai-core-c3-1.54，env spotpear-ai-toy）為量產板，不再等另一塊板。驗收改為在 Spotpear 上測完評分表，確認沒有否決性問題；仍缺 ①②⑥⑦。；修改了驗收標準</t>
        </is>
      </c>
    </row>
    <row r="64" ht="32" customHeight="1">
      <c r="A64" s="13" t="inlineStr">
        <is>
          <t>2026-10-07 12:17</t>
        </is>
      </c>
      <c r="B64" s="13" t="inlineStr">
        <is>
          <t>P0-02</t>
        </is>
      </c>
      <c r="C64" s="6" t="inlineStr">
        <is>
          <t>收緊 conversations 表的 RLS</t>
        </is>
      </c>
      <c r="D64" s="13" t="inlineStr">
        <is>
          <t>未開始</t>
        </is>
      </c>
      <c r="E64" s="13" t="inlineStr">
        <is>
          <t>進行中</t>
        </is>
      </c>
      <c r="F64" s="13" t="n"/>
      <c r="G64" s="6" t="n"/>
      <c r="H64" s="13" t="n"/>
      <c r="I64" s="6" t="n"/>
    </row>
    <row r="65" ht="32" customHeight="1">
      <c r="A65" s="13" t="inlineStr">
        <is>
          <t>2026-10-07 12:17</t>
        </is>
      </c>
      <c r="B65" s="13" t="inlineStr">
        <is>
          <t>P0-03</t>
        </is>
      </c>
      <c r="C65" s="6" t="inlineStr">
        <is>
          <t>收緊 users 表的 RLS</t>
        </is>
      </c>
      <c r="D65" s="13" t="inlineStr">
        <is>
          <t>未開始</t>
        </is>
      </c>
      <c r="E65" s="13" t="inlineStr">
        <is>
          <t>進行中</t>
        </is>
      </c>
      <c r="F65" s="13" t="n"/>
      <c r="G65" s="6" t="n"/>
      <c r="H65" s="13" t="n"/>
      <c r="I65" s="6" t="n"/>
    </row>
    <row r="66" ht="32" customHeight="1">
      <c r="A66" s="13" t="inlineStr">
        <is>
          <t>2026-10-07 12:17</t>
        </is>
      </c>
      <c r="B66" s="13" t="inlineStr">
        <is>
          <t>P0-04</t>
        </is>
      </c>
      <c r="C66" s="6" t="inlineStr">
        <is>
          <t>收緊 devices 表的 RLS</t>
        </is>
      </c>
      <c r="D66" s="13" t="inlineStr">
        <is>
          <t>未開始</t>
        </is>
      </c>
      <c r="E66" s="13" t="inlineStr">
        <is>
          <t>進行中</t>
        </is>
      </c>
      <c r="F66" s="13" t="n"/>
      <c r="G66" s="6" t="n"/>
      <c r="H66" s="13" t="n"/>
      <c r="I66" s="6" t="n"/>
    </row>
    <row r="67" ht="32" customHeight="1">
      <c r="A67" s="13" t="inlineStr">
        <is>
          <t>2026-10-07 12:17</t>
        </is>
      </c>
      <c r="B67" s="13" t="inlineStr">
        <is>
          <t>P0-05</t>
        </is>
      </c>
      <c r="C67" s="6" t="inlineStr">
        <is>
          <t>撤銷敏感表的多餘授權</t>
        </is>
      </c>
      <c r="D67" s="13" t="inlineStr">
        <is>
          <t>未開始</t>
        </is>
      </c>
      <c r="E67" s="13" t="inlineStr">
        <is>
          <t>進行中</t>
        </is>
      </c>
      <c r="F67" s="13" t="n"/>
      <c r="G67" s="6" t="n"/>
      <c r="H67" s="13" t="n"/>
      <c r="I67" s="6" t="n"/>
    </row>
    <row r="68" ht="130" customHeight="1">
      <c r="A68" s="13" t="inlineStr">
        <is>
          <t>2026-10-07 12:31</t>
        </is>
      </c>
      <c r="B68" s="13" t="inlineStr">
        <is>
          <t>P0-02</t>
        </is>
      </c>
      <c r="C68" s="6" t="inlineStr">
        <is>
          <t>收緊 conversations 表的 RLS</t>
        </is>
      </c>
      <c r="D68" s="13" t="inlineStr">
        <is>
          <t>進行中</t>
        </is>
      </c>
      <c r="E68" s="13" t="inlineStr">
        <is>
          <t>進行中</t>
        </is>
      </c>
      <c r="F68" s="13" t="inlineStr">
        <is>
          <t>通過</t>
        </is>
      </c>
      <c r="G68" s="6" t="inlineStr">
        <is>
          <t>本機：pg_policies 只剩擁有者 SELECT/DELETE，無 qual=true；publishable key GET/INSERT conversations → 42501；GoTrue 用戶 A 讀自己 2 行、讀 B 0 行，INSERT/UPDATE → 42501；store.insert_conversation_turn（service_role）寫入 user/assistant 兩行成功</t>
        </is>
      </c>
      <c r="H68" s="13" t="n"/>
      <c r="I68" s="6" t="inlineStr">
        <is>
          <t>2026-10-07：migration 20261007130000_lock_down_users_devices_conversations.sql 已寫好並在本機驗證通過，尚未提交。上線順序：先部署新前端（舊前端在新規則下無法建新用戶、無法認領）→ 再在線上 docker exec psql -1 套用 migration → 用線上前端實際的 anon key 重跑 anon GET/PATCH，通過後才標完成。</t>
        </is>
      </c>
    </row>
    <row r="69" ht="130" customHeight="1">
      <c r="A69" s="13" t="inlineStr">
        <is>
          <t>2026-10-07 12:31</t>
        </is>
      </c>
      <c r="B69" s="13" t="inlineStr">
        <is>
          <t>P0-03</t>
        </is>
      </c>
      <c r="C69" s="6" t="inlineStr">
        <is>
          <t>收緊 users 表的 RLS</t>
        </is>
      </c>
      <c r="D69" s="13" t="inlineStr">
        <is>
          <t>進行中</t>
        </is>
      </c>
      <c r="E69" s="13" t="inlineStr">
        <is>
          <t>進行中</t>
        </is>
      </c>
      <c r="F69" s="13" t="inlineStr">
        <is>
          <t>通過</t>
        </is>
      </c>
      <c r="G69" s="6" t="inlineStr">
        <is>
          <t>本機：anon GET/PATCH users → 42501；A 讀 B、改 B 均 0 行；A 改自己的 is_premium/email/device_id → 42501；網頁實測（publishable key）：首次登入建行成功，設定頁保存姓名/年齡/描述 → DB 已更新；用別人 email 建行 → RLS 拒絕</t>
        </is>
      </c>
      <c r="H69" s="13" t="n"/>
      <c r="I69" s="6" t="inlineStr">
        <is>
          <t>2026-10-07：migration 20261007130000_lock_down_users_devices_conversations.sql 已寫好並在本機驗證通過，尚未提交。上線順序：先部署新前端（舊前端在新規則下無法建新用戶、無法認領）→ 再在線上 docker exec psql -1 套用 migration → 用線上前端實際的 anon key 重跑 anon GET/PATCH，通過後才標完成。</t>
        </is>
      </c>
    </row>
    <row r="70" ht="130" customHeight="1">
      <c r="A70" s="13" t="inlineStr">
        <is>
          <t>2026-10-07 12:31</t>
        </is>
      </c>
      <c r="B70" s="13" t="inlineStr">
        <is>
          <t>P0-04</t>
        </is>
      </c>
      <c r="C70" s="6" t="inlineStr">
        <is>
          <t>收緊 devices 表的 RLS</t>
        </is>
      </c>
      <c r="D70" s="13" t="inlineStr">
        <is>
          <t>進行中</t>
        </is>
      </c>
      <c r="E70" s="13" t="inlineStr">
        <is>
          <t>進行中</t>
        </is>
      </c>
      <c r="F70" s="13" t="inlineStr">
        <is>
          <t>通過</t>
        </is>
      </c>
      <c r="G70" s="6" t="inlineStr">
        <is>
          <t>本機：anon GET/PATCH devices → 42501；A 改 B 的 user_id、直接認領無主設備、INSERT → 42501；網頁實測：無主清單 Claim → devices.user_id 與 users.device_id 已寫入，音量 70→3，Unbind 清空，輸入配對碼綁定成功</t>
        </is>
      </c>
      <c r="H70" s="13" t="n"/>
      <c r="I70" s="6" t="inlineStr">
        <is>
          <t>2026-10-07：migration 20261007130000_lock_down_users_devices_conversations.sql 已寫好並在本機驗證通過，尚未提交。上線順序：先部署新前端（舊前端在新規則下無法建新用戶、無法認領）→ 再在線上 docker exec psql -1 套用 migration → 用線上前端實際的 anon key 重跑 anon GET/PATCH，通過後才標完成。</t>
        </is>
      </c>
    </row>
    <row r="71" ht="130" customHeight="1">
      <c r="A71" s="13" t="inlineStr">
        <is>
          <t>2026-10-07 12:31</t>
        </is>
      </c>
      <c r="B71" s="13" t="inlineStr">
        <is>
          <t>P0-05</t>
        </is>
      </c>
      <c r="C71" s="6" t="inlineStr">
        <is>
          <t>撤銷敏感表的多餘授權</t>
        </is>
      </c>
      <c r="D71" s="13" t="inlineStr">
        <is>
          <t>進行中</t>
        </is>
      </c>
      <c r="E71" s="13" t="inlineStr">
        <is>
          <t>進行中</t>
        </is>
      </c>
      <c r="F71" s="13" t="inlineStr">
        <is>
          <t>通過</t>
        </is>
      </c>
      <c r="G71" s="6" t="inlineStr">
        <is>
          <t>本機 role_table_grants：anon 對三表 0 筆；authenticated＝users SELECT＋欄位級 INSERT/UPDATE、devices SELECT＋UPDATE(volume,is_reset,is_ota)、conversations SELECT/DELETE，三表都沒有 TRUNCATE</t>
        </is>
      </c>
      <c r="H71" s="13" t="n"/>
      <c r="I71" s="6" t="inlineStr">
        <is>
          <t>2026-10-07：migration 20261007130000_lock_down_users_devices_conversations.sql 已寫好並在本機驗證通過，尚未提交。上線順序：先部署新前端（舊前端在新規則下無法建新用戶、無法認領）→ 再在線上 docker exec psql -1 套用 migration → 用線上前端實際的 anon key 重跑 anon GET/PATCH，通過後才標完成。</t>
        </is>
      </c>
    </row>
    <row r="72" ht="74" customHeight="1">
      <c r="A72" s="13" t="inlineStr">
        <is>
          <t>2026-10-07 12:31</t>
        </is>
      </c>
      <c r="B72" s="13" t="inlineStr">
        <is>
          <t>P0-11</t>
        </is>
      </c>
      <c r="C72" s="6" t="inlineStr">
        <is>
          <t>設備認領要求持有證明</t>
        </is>
      </c>
      <c r="D72" s="13" t="inlineStr">
        <is>
          <t>未開始</t>
        </is>
      </c>
      <c r="E72" s="13" t="inlineStr">
        <is>
          <t>未開始</t>
        </is>
      </c>
      <c r="F72" s="13" t="n"/>
      <c r="G72" s="6" t="n"/>
      <c r="H72" s="13" t="n"/>
      <c r="I72" s="6" t="inlineStr">
        <is>
          <t>2026-10-07：addUserToDevice（輸入配對碼）沒有限制 user_id IS NULL，知道配對碼就能把已有主人的設備轉到自己帳號；P0-04 只把它搬到 service_role，行為未改，留給本項處理。</t>
        </is>
      </c>
    </row>
    <row r="73" ht="88" customHeight="1">
      <c r="A73" s="13" t="inlineStr">
        <is>
          <t>2026-10-07 12:31</t>
        </is>
      </c>
      <c r="B73" s="13" t="inlineStr">
        <is>
          <t>P0-16</t>
        </is>
      </c>
      <c r="C73" s="6" t="inlineStr">
        <is>
          <t>移除「醫生」身份與寫死的通關碼</t>
        </is>
      </c>
      <c r="D73" s="13" t="inlineStr">
        <is>
          <t>未開始</t>
        </is>
      </c>
      <c r="E73" s="13" t="inlineStr">
        <is>
          <t>未開始</t>
        </is>
      </c>
      <c r="F73" s="13" t="n"/>
      <c r="G73" s="6" t="n"/>
      <c r="H73" s="13" t="n"/>
      <c r="I73" s="6" t="inlineStr">
        <is>
          <t>2026-10-07：P0-04 的 migration 讓 authenticated 仍可改 users.user_info，只因 Onboarding/AppSettings 還在那裡寫 doctor 身份；移除 doctor 後，同時從 GRANT UPDATE 拿掉 user_info。</t>
        </is>
      </c>
    </row>
    <row r="74" ht="46" customHeight="1">
      <c r="A74" s="13" t="inlineStr">
        <is>
          <t>2026-10-07 12:31</t>
        </is>
      </c>
      <c r="B74" s="13" t="inlineStr">
        <is>
          <t>P0-17</t>
        </is>
      </c>
      <c r="C74" s="6" t="inlineStr">
        <is>
          <t>前端的 anon key 必須是公開 key，不可是 secret／service_role</t>
        </is>
      </c>
      <c r="E74" s="13" t="inlineStr">
        <is>
          <t>未開始</t>
        </is>
      </c>
      <c r="I74" s="6" t="inlineStr">
        <is>
          <t>新增任務</t>
        </is>
      </c>
    </row>
    <row r="75" ht="46" customHeight="1">
      <c r="A75" s="13" t="inlineStr">
        <is>
          <t>2026-10-07 12:45</t>
        </is>
      </c>
      <c r="B75" s="13" t="inlineStr">
        <is>
          <t>P0-17</t>
        </is>
      </c>
      <c r="C75" s="6" t="inlineStr">
        <is>
          <t>前端的 anon key 必須是公開 key，不可是 secret／service_role</t>
        </is>
      </c>
      <c r="D75" s="13" t="inlineStr">
        <is>
          <t>未開始</t>
        </is>
      </c>
      <c r="E75" s="13" t="inlineStr">
        <is>
          <t>進行中</t>
        </is>
      </c>
      <c r="F75" s="13" t="n"/>
      <c r="G75" s="6" t="n"/>
      <c r="H75" s="13" t="n"/>
      <c r="I75" s="6" t="n"/>
    </row>
    <row r="76" ht="88" customHeight="1">
      <c r="A76" s="13" t="inlineStr">
        <is>
          <t>2026-10-07 12:45</t>
        </is>
      </c>
      <c r="B76" s="13" t="inlineStr">
        <is>
          <t>P0-17</t>
        </is>
      </c>
      <c r="C76" s="6" t="inlineStr">
        <is>
          <t>前端的 anon key 必須是公開 key，不可是 secret／service_role</t>
        </is>
      </c>
      <c r="D76" s="13" t="inlineStr">
        <is>
          <t>進行中</t>
        </is>
      </c>
      <c r="E76" s="13" t="inlineStr">
        <is>
          <t>進行中</t>
        </is>
      </c>
      <c r="F76" s="13" t="inlineStr">
        <is>
          <t>部分通過</t>
        </is>
      </c>
      <c r="G76" s="6" t="inlineStr">
        <is>
          <t>① 線上 /login 引用的 12 個 JS + HTML：無 sb_secret_，唯一的 key 是 role=anon 的 JWT ③ 本機 .env.local 原為 sb_secret_（已備份 .env.local.bak-p017），換成 kong 的 sb_publishable_ 後 anon GET /rest/v1/users → 42501。② 未做：線上 RLS 尚未套用，現在讀 users 會讀到全部家庭資料</t>
        </is>
      </c>
      <c r="H76" s="13" t="n"/>
      <c r="I76" s="6" t="inlineStr">
        <is>
          <t>2026-10-07：線上沒有外洩 secret key，無需輪換。② 要等 P0-02～P0-05 的 migration 在線上套用後再測。</t>
        </is>
      </c>
    </row>
    <row r="77" ht="32" customHeight="1">
      <c r="A77" s="13" t="inlineStr">
        <is>
          <t>2026-10-07 12:45</t>
        </is>
      </c>
      <c r="B77" s="13" t="inlineStr">
        <is>
          <t>P0-02</t>
        </is>
      </c>
      <c r="C77" s="6" t="inlineStr">
        <is>
          <t>收緊 conversations 表的 RLS</t>
        </is>
      </c>
      <c r="D77" s="13" t="inlineStr">
        <is>
          <t>進行中</t>
        </is>
      </c>
      <c r="E77" s="13" t="inlineStr">
        <is>
          <t>進行中</t>
        </is>
      </c>
      <c r="F77" s="13" t="n"/>
      <c r="G77" s="6" t="n"/>
      <c r="H77" s="13" t="inlineStr">
        <is>
          <t>e3dfb35</t>
        </is>
      </c>
      <c r="I77" s="6" t="n"/>
    </row>
    <row r="78" ht="32" customHeight="1">
      <c r="A78" s="13" t="inlineStr">
        <is>
          <t>2026-10-07 12:45</t>
        </is>
      </c>
      <c r="B78" s="13" t="inlineStr">
        <is>
          <t>P0-03</t>
        </is>
      </c>
      <c r="C78" s="6" t="inlineStr">
        <is>
          <t>收緊 users 表的 RLS</t>
        </is>
      </c>
      <c r="D78" s="13" t="inlineStr">
        <is>
          <t>進行中</t>
        </is>
      </c>
      <c r="E78" s="13" t="inlineStr">
        <is>
          <t>進行中</t>
        </is>
      </c>
      <c r="F78" s="13" t="n"/>
      <c r="G78" s="6" t="n"/>
      <c r="H78" s="13" t="inlineStr">
        <is>
          <t>e3dfb35</t>
        </is>
      </c>
      <c r="I78" s="6" t="n"/>
    </row>
    <row r="79" ht="32" customHeight="1">
      <c r="A79" s="13" t="inlineStr">
        <is>
          <t>2026-10-07 12:45</t>
        </is>
      </c>
      <c r="B79" s="13" t="inlineStr">
        <is>
          <t>P0-04</t>
        </is>
      </c>
      <c r="C79" s="6" t="inlineStr">
        <is>
          <t>收緊 devices 表的 RLS</t>
        </is>
      </c>
      <c r="D79" s="13" t="inlineStr">
        <is>
          <t>進行中</t>
        </is>
      </c>
      <c r="E79" s="13" t="inlineStr">
        <is>
          <t>進行中</t>
        </is>
      </c>
      <c r="F79" s="13" t="n"/>
      <c r="G79" s="6" t="n"/>
      <c r="H79" s="13" t="inlineStr">
        <is>
          <t>e3dfb35</t>
        </is>
      </c>
      <c r="I79" s="6" t="n"/>
    </row>
    <row r="80" ht="32" customHeight="1">
      <c r="A80" s="13" t="inlineStr">
        <is>
          <t>2026-10-07 12:45</t>
        </is>
      </c>
      <c r="B80" s="13" t="inlineStr">
        <is>
          <t>P0-05</t>
        </is>
      </c>
      <c r="C80" s="6" t="inlineStr">
        <is>
          <t>撤銷敏感表的多餘授權</t>
        </is>
      </c>
      <c r="D80" s="13" t="inlineStr">
        <is>
          <t>進行中</t>
        </is>
      </c>
      <c r="E80" s="13" t="inlineStr">
        <is>
          <t>進行中</t>
        </is>
      </c>
      <c r="F80" s="13" t="n"/>
      <c r="G80" s="6" t="n"/>
      <c r="H80" s="13" t="inlineStr">
        <is>
          <t>e3dfb35</t>
        </is>
      </c>
      <c r="I80" s="6" t="n"/>
    </row>
    <row r="81" ht="32" customHeight="1">
      <c r="A81" s="13" t="inlineStr">
        <is>
          <t>2026-10-07 13:03</t>
        </is>
      </c>
      <c r="B81" s="13" t="inlineStr">
        <is>
          <t>P0-06</t>
        </is>
      </c>
      <c r="C81" s="6" t="inlineStr">
        <is>
          <t>停止憑 MAC 發放永久用戶 JWT</t>
        </is>
      </c>
      <c r="D81" s="13" t="inlineStr">
        <is>
          <t>未開始</t>
        </is>
      </c>
      <c r="E81" s="13" t="inlineStr">
        <is>
          <t>進行中</t>
        </is>
      </c>
      <c r="F81" s="13" t="n"/>
      <c r="G81" s="6" t="n"/>
      <c r="H81" s="13" t="n"/>
      <c r="I81" s="6" t="n"/>
    </row>
    <row r="82" ht="32" customHeight="1">
      <c r="A82" s="13" t="inlineStr">
        <is>
          <t>2026-10-07 13:03</t>
        </is>
      </c>
      <c r="B82" s="13" t="inlineStr">
        <is>
          <t>P0-08</t>
        </is>
      </c>
      <c r="C82" s="6" t="inlineStr">
        <is>
          <t>語音伺服器驗證設備身份（/ws/esp32）</t>
        </is>
      </c>
      <c r="D82" s="13" t="inlineStr">
        <is>
          <t>未開始</t>
        </is>
      </c>
      <c r="E82" s="13" t="inlineStr">
        <is>
          <t>進行中</t>
        </is>
      </c>
      <c r="F82" s="13" t="n"/>
      <c r="G82" s="6" t="n"/>
      <c r="H82" s="13" t="n"/>
      <c r="I82" s="6" t="n"/>
    </row>
    <row r="83" ht="144" customHeight="1">
      <c r="A83" s="13" t="inlineStr">
        <is>
          <t>2026-10-07 13:03</t>
        </is>
      </c>
      <c r="B83" s="13" t="inlineStr">
        <is>
          <t>P0-06</t>
        </is>
      </c>
      <c r="C83" s="6" t="inlineStr">
        <is>
          <t>停止憑 MAC 發放永久用戶 JWT</t>
        </is>
      </c>
      <c r="D83" s="13" t="inlineStr">
        <is>
          <t>進行中</t>
        </is>
      </c>
      <c r="E83" s="13" t="inlineStr">
        <is>
          <t>進行中</t>
        </is>
      </c>
      <c r="F83" s="13" t="inlineStr">
        <is>
          <t>部分通過</t>
        </is>
      </c>
      <c r="G83" s="6" t="inlineStr">
        <is>
          <t>本機 API（SKIP=False）：GET → 410；新 MAC 首次 POST → 202＋43 字元密鑰；只帶 MAC 或錯誤密鑰 → 401，last_seen_at 不變；持密鑰未認領 → 202；認領後 → 200 token（typ=device，24h，無 role/email）；設備 token 讀 users/conversations/devices → PostgREST 401；device_secrets 只存 sha256。④實機：localall 韌體已燒到開發板，等 WiFi 設定後測</t>
        </is>
      </c>
      <c r="H83" s="13" t="n"/>
      <c r="I83" s="6" t="inlineStr">
        <is>
          <t>2026-10-07：實作＝device_secrets 表（20261007150000）＋lib/deviceAuth.ts＋generate_auth_token 改 POST＋韌體密鑰存 NVS「device」、token 只放 RAM、斷線時續期。上線必須三者一起：前端、語音伺服器、韌體；兩邊 env 都要先設同一個 DEVICE_JWT_SECRET；雲端已配對的測試板要重燒。NVS 被清的板子要刪 device_secrets 那行才能重新領密鑰。</t>
        </is>
      </c>
    </row>
    <row r="84" ht="88" customHeight="1">
      <c r="A84" s="13" t="inlineStr">
        <is>
          <t>2026-10-07 13:03</t>
        </is>
      </c>
      <c r="B84" s="13" t="inlineStr">
        <is>
          <t>P0-08</t>
        </is>
      </c>
      <c r="C84" s="6" t="inlineStr">
        <is>
          <t>語音伺服器驗證設備身份（/ws/esp32）</t>
        </is>
      </c>
      <c r="D84" s="13" t="inlineStr">
        <is>
          <t>進行中</t>
        </is>
      </c>
      <c r="E84" s="13" t="inlineStr">
        <is>
          <t>進行中</t>
        </is>
      </c>
      <c r="F84" s="13" t="inlineStr">
        <is>
          <t>部分通過</t>
        </is>
      </c>
      <c r="G84" s="6" t="inlineStr">
        <is>
          <t>pytest tests/test_device_auth.py 30 項通過（含 jsonwebtoken 簽的 token、alg none/HS512、改 payload、過期、/ws/esp32 偽造 MAC→4401、header 謊報 MAC 被忽略）；本機 7861 實測：無 token／過期／Supabase secret 簽的 → 4401，有效 token → 收到 auth。③真實設備待測</t>
        </is>
      </c>
      <c r="H84" s="13" t="n"/>
      <c r="I84" s="6" t="inlineStr">
        <is>
          <t>2026-10-07：device_auth.py 用標準庫 hmac 驗 HS256（venv 無 PyJWT），每次呼叫才讀 DEVICE_JWT_SECRET（bot.py 的 load_dotenv 在 import 之後）。未設 secret 時所有設備被拒。</t>
        </is>
      </c>
    </row>
    <row r="85" ht="74" customHeight="1">
      <c r="A85" s="13" t="inlineStr">
        <is>
          <t>2026-10-07 13:03</t>
        </is>
      </c>
      <c r="B85" s="13" t="inlineStr">
        <is>
          <t>P0-11</t>
        </is>
      </c>
      <c r="C85" s="6" t="inlineStr">
        <is>
          <t>設備認領要求持有證明</t>
        </is>
      </c>
      <c r="D85" s="13" t="inlineStr">
        <is>
          <t>未開始</t>
        </is>
      </c>
      <c r="E85" s="13" t="inlineStr">
        <is>
          <t>未開始</t>
        </is>
      </c>
      <c r="F85" s="13" t="n"/>
      <c r="G85" s="6" t="n"/>
      <c r="H85" s="13" t="n"/>
      <c r="I85" s="6" t="inlineStr">
        <is>
          <t>2026-10-07：P0-06 之後配對碼只回給持有設備密鑰的請求（只知 MAC → 401），驗收第一條在本機已成立；仍缺：不再列出全球未認領設備、輸錯上限、addUserToDevice 搶已綁定設備。</t>
        </is>
      </c>
    </row>
    <row r="86" ht="88" customHeight="1">
      <c r="A86" s="13" t="inlineStr">
        <is>
          <t>2026-10-07 14:39</t>
        </is>
      </c>
      <c r="B86" s="13" t="inlineStr">
        <is>
          <t>P0-06</t>
        </is>
      </c>
      <c r="C86" s="6" t="inlineStr">
        <is>
          <t>停止憑 MAC 發放永久用戶 JWT</t>
        </is>
      </c>
      <c r="D86" s="13" t="inlineStr">
        <is>
          <t>進行中</t>
        </is>
      </c>
      <c r="E86" s="13" t="inlineStr">
        <is>
          <t>進行中</t>
        </is>
      </c>
      <c r="F86" s="13" t="inlineStr">
        <is>
          <t>通過</t>
        </is>
      </c>
      <c r="G86" s="6" t="inlineStr">
        <is>
          <t>本機 API：只帶 MAC 或錯誤密鑰 → 401、GET → 410；設備 token 讀 users/conversations/devices → PostgREST 401；過期 token 在 ws 與 reset 路由都被拒。實機（開發板 63:64，localall 韌體）：首次聯絡領到密鑰存 NVS、換到 24h token、連上 7861、對話「你聽唔聽到我講嘢？」與回覆寫入 conversations</t>
        </is>
      </c>
      <c r="H86" s="13" t="inlineStr">
        <is>
          <t>da98048</t>
        </is>
      </c>
      <c r="I86" s="6" t="inlineStr">
        <is>
          <t>2026-10-07：本機全部驗收通過（commit da98048），仍保持進行中：線上尚未部署。上線順序：兩邊 env 設同一個 DEVICE_JWT_SECRET → 套用 20261007150000 → 部署前端與語音伺服器 → 重燒雲端測試板。</t>
        </is>
      </c>
    </row>
    <row r="87" ht="88" customHeight="1">
      <c r="A87" s="13" t="inlineStr">
        <is>
          <t>2026-10-07 14:39</t>
        </is>
      </c>
      <c r="B87" s="13" t="inlineStr">
        <is>
          <t>P0-08</t>
        </is>
      </c>
      <c r="C87" s="6" t="inlineStr">
        <is>
          <t>語音伺服器驗證設備身份（/ws/esp32）</t>
        </is>
      </c>
      <c r="D87" s="13" t="inlineStr">
        <is>
          <t>進行中</t>
        </is>
      </c>
      <c r="E87" s="13" t="inlineStr">
        <is>
          <t>進行中</t>
        </is>
      </c>
      <c r="F87" s="13" t="inlineStr">
        <is>
          <t>通過</t>
        </is>
      </c>
      <c r="G87" s="6" t="inlineStr">
        <is>
          <t>pytest test_device_auth.py 30 項通過；本機：偽造 MAC、過期、Supabase secret 簽的 token → 4401；實機 token 被拒時韌體偵測到「auth 之前被關閉」，斷線期間續期（拒 22 次、換 3 次 token、0 panic），密鑰改回後自動恢復；伺服器日誌身份取自 token（device=9fe8d112…）</t>
        </is>
      </c>
      <c r="H87" s="13" t="inlineStr">
        <is>
          <t>da98048</t>
        </is>
      </c>
      <c r="I87" s="6" t="inlineStr">
        <is>
          <t>2026-10-07：本機全部驗收通過（commit da98048），仍保持進行中：線上尚未部署。上線順序：兩邊 env 設同一個 DEVICE_JWT_SECRET → 套用 20261007150000 → 部署前端與語音伺服器 → 重燒雲端測試板。</t>
        </is>
      </c>
    </row>
    <row r="88" ht="74" customHeight="1">
      <c r="A88" s="13" t="inlineStr">
        <is>
          <t>2026-10-07 15:05</t>
        </is>
      </c>
      <c r="B88" s="13" t="inlineStr">
        <is>
          <t>P0-02</t>
        </is>
      </c>
      <c r="C88" s="6" t="inlineStr">
        <is>
          <t>收緊 conversations 表的 RLS</t>
        </is>
      </c>
      <c r="D88" s="13" t="inlineStr">
        <is>
          <t>進行中</t>
        </is>
      </c>
      <c r="E88" s="13" t="inlineStr">
        <is>
          <t>進行中</t>
        </is>
      </c>
      <c r="F88" s="13" t="n"/>
      <c r="G88" s="6" t="n"/>
      <c r="H88" s="13" t="n"/>
      <c r="I88" s="6" t="inlineStr">
        <is>
          <t>2026-10-07：用戶決定延後部署，與後續任務合併成一批上線。mygithub/main 與 GHCR :latest 已是新版（da98048 起），主機在跑 runbook 前不可 docker compose pull。</t>
        </is>
      </c>
    </row>
    <row r="89" ht="74" customHeight="1">
      <c r="A89" s="13" t="inlineStr">
        <is>
          <t>2026-10-07 15:05</t>
        </is>
      </c>
      <c r="B89" s="13" t="inlineStr">
        <is>
          <t>P0-03</t>
        </is>
      </c>
      <c r="C89" s="6" t="inlineStr">
        <is>
          <t>收緊 users 表的 RLS</t>
        </is>
      </c>
      <c r="D89" s="13" t="inlineStr">
        <is>
          <t>進行中</t>
        </is>
      </c>
      <c r="E89" s="13" t="inlineStr">
        <is>
          <t>進行中</t>
        </is>
      </c>
      <c r="F89" s="13" t="n"/>
      <c r="G89" s="6" t="n"/>
      <c r="H89" s="13" t="n"/>
      <c r="I89" s="6" t="inlineStr">
        <is>
          <t>2026-10-07：用戶決定延後部署，與後續任務合併成一批上線。mygithub/main 與 GHCR :latest 已是新版（da98048 起），主機在跑 runbook 前不可 docker compose pull。</t>
        </is>
      </c>
    </row>
    <row r="90" ht="74" customHeight="1">
      <c r="A90" s="13" t="inlineStr">
        <is>
          <t>2026-10-07 15:05</t>
        </is>
      </c>
      <c r="B90" s="13" t="inlineStr">
        <is>
          <t>P0-04</t>
        </is>
      </c>
      <c r="C90" s="6" t="inlineStr">
        <is>
          <t>收緊 devices 表的 RLS</t>
        </is>
      </c>
      <c r="D90" s="13" t="inlineStr">
        <is>
          <t>進行中</t>
        </is>
      </c>
      <c r="E90" s="13" t="inlineStr">
        <is>
          <t>進行中</t>
        </is>
      </c>
      <c r="F90" s="13" t="n"/>
      <c r="G90" s="6" t="n"/>
      <c r="H90" s="13" t="n"/>
      <c r="I90" s="6" t="inlineStr">
        <is>
          <t>2026-10-07：用戶決定延後部署，與後續任務合併成一批上線。mygithub/main 與 GHCR :latest 已是新版（da98048 起），主機在跑 runbook 前不可 docker compose pull。</t>
        </is>
      </c>
    </row>
    <row r="91" ht="74" customHeight="1">
      <c r="A91" s="13" t="inlineStr">
        <is>
          <t>2026-10-07 15:05</t>
        </is>
      </c>
      <c r="B91" s="13" t="inlineStr">
        <is>
          <t>P0-05</t>
        </is>
      </c>
      <c r="C91" s="6" t="inlineStr">
        <is>
          <t>撤銷敏感表的多餘授權</t>
        </is>
      </c>
      <c r="D91" s="13" t="inlineStr">
        <is>
          <t>進行中</t>
        </is>
      </c>
      <c r="E91" s="13" t="inlineStr">
        <is>
          <t>進行中</t>
        </is>
      </c>
      <c r="F91" s="13" t="n"/>
      <c r="G91" s="6" t="n"/>
      <c r="H91" s="13" t="n"/>
      <c r="I91" s="6" t="inlineStr">
        <is>
          <t>2026-10-07：用戶決定延後部署，與後續任務合併成一批上線。mygithub/main 與 GHCR :latest 已是新版（da98048 起），主機在跑 runbook 前不可 docker compose pull。</t>
        </is>
      </c>
    </row>
    <row r="92" ht="74" customHeight="1">
      <c r="A92" s="13" t="inlineStr">
        <is>
          <t>2026-10-07 15:05</t>
        </is>
      </c>
      <c r="B92" s="13" t="inlineStr">
        <is>
          <t>P0-06</t>
        </is>
      </c>
      <c r="C92" s="6" t="inlineStr">
        <is>
          <t>停止憑 MAC 發放永久用戶 JWT</t>
        </is>
      </c>
      <c r="D92" s="13" t="inlineStr">
        <is>
          <t>進行中</t>
        </is>
      </c>
      <c r="E92" s="13" t="inlineStr">
        <is>
          <t>進行中</t>
        </is>
      </c>
      <c r="F92" s="13" t="n"/>
      <c r="G92" s="6" t="n"/>
      <c r="H92" s="13" t="n"/>
      <c r="I92" s="6" t="inlineStr">
        <is>
          <t>2026-10-07：用戶決定延後部署，與後續任務合併成一批上線。mygithub/main 與 GHCR :latest 已是新版（da98048 起），主機在跑 runbook 前不可 docker compose pull。</t>
        </is>
      </c>
    </row>
    <row r="93" ht="74" customHeight="1">
      <c r="A93" s="13" t="inlineStr">
        <is>
          <t>2026-10-07 15:05</t>
        </is>
      </c>
      <c r="B93" s="13" t="inlineStr">
        <is>
          <t>P0-08</t>
        </is>
      </c>
      <c r="C93" s="6" t="inlineStr">
        <is>
          <t>語音伺服器驗證設備身份（/ws/esp32）</t>
        </is>
      </c>
      <c r="D93" s="13" t="inlineStr">
        <is>
          <t>進行中</t>
        </is>
      </c>
      <c r="E93" s="13" t="inlineStr">
        <is>
          <t>進行中</t>
        </is>
      </c>
      <c r="F93" s="13" t="n"/>
      <c r="G93" s="6" t="n"/>
      <c r="H93" s="13" t="n"/>
      <c r="I93" s="6" t="inlineStr">
        <is>
          <t>2026-10-07：用戶決定延後部署，與後續任務合併成一批上線。mygithub/main 與 GHCR :latest 已是新版（da98048 起），主機在跑 runbook 前不可 docker compose pull。</t>
        </is>
      </c>
    </row>
    <row r="94" ht="32" customHeight="1">
      <c r="A94" s="13" t="inlineStr">
        <is>
          <t>2026-10-07 15:06</t>
        </is>
      </c>
      <c r="B94" s="13" t="inlineStr">
        <is>
          <t>P2-01</t>
        </is>
      </c>
      <c r="C94" s="6" t="inlineStr">
        <is>
          <t>修好後端測試環境</t>
        </is>
      </c>
      <c r="D94" s="13" t="inlineStr">
        <is>
          <t>未開始</t>
        </is>
      </c>
      <c r="E94" s="13" t="inlineStr">
        <is>
          <t>進行中</t>
        </is>
      </c>
      <c r="F94" s="13" t="n"/>
      <c r="G94" s="6" t="n"/>
      <c r="H94" s="13" t="n"/>
      <c r="I94" s="6" t="n"/>
    </row>
    <row r="95" ht="88" customHeight="1">
      <c r="A95" s="13" t="inlineStr">
        <is>
          <t>2026-10-07 15:07</t>
        </is>
      </c>
      <c r="B95" s="13" t="inlineStr">
        <is>
          <t>P2-01</t>
        </is>
      </c>
      <c r="C95" s="6" t="inlineStr">
        <is>
          <t>修好後端測試環境</t>
        </is>
      </c>
      <c r="D95" s="13" t="inlineStr">
        <is>
          <t>進行中</t>
        </is>
      </c>
      <c r="E95" s="13" t="inlineStr">
        <is>
          <t>已完成</t>
        </is>
      </c>
      <c r="F95" s="13" t="inlineStr">
        <is>
          <t>通過</t>
        </is>
      </c>
      <c r="G95" s="6" t="inlineStr">
        <is>
          <t>cd server/fastapi &amp;&amp; .venv/bin/python -m pytest -q → 173 passed（原本 60 個 async 測試報「not natively supported」）；pyproject dev group 加 pytest&gt;=9,&lt;10、pytest-asyncio&gt;=1.4,&lt;2，asyncio_mode=auto；pip install --dry-run --group dev 可解析</t>
        </is>
      </c>
      <c r="H95" s="13" t="inlineStr">
        <is>
          <t>6641fa8</t>
        </is>
      </c>
      <c r="I95" s="6" t="inlineStr">
        <is>
          <t>2026-10-07：pytest-asyncio 其實已裝，問題是 strict 模式略過沒有 marker 的 async 測試。剩 10 個 warning 是 pipecat/fastapi 棄用提示與兩個 memory_processors 測試沒啟動 processor，不影響結果。</t>
        </is>
      </c>
    </row>
    <row r="96" ht="32" customHeight="1">
      <c r="A96" s="13" t="inlineStr">
        <is>
          <t>2026-10-07 15:12</t>
        </is>
      </c>
      <c r="B96" s="13" t="inlineStr">
        <is>
          <t>P0-10</t>
        </is>
      </c>
      <c r="C96" s="6" t="inlineStr">
        <is>
          <t>生產環境關閉 /browser 測試頁與 /ws/browser</t>
        </is>
      </c>
      <c r="D96" s="13" t="inlineStr">
        <is>
          <t>未開始</t>
        </is>
      </c>
      <c r="E96" s="13" t="inlineStr">
        <is>
          <t>進行中</t>
        </is>
      </c>
      <c r="F96" s="13" t="n"/>
      <c r="G96" s="6" t="n"/>
      <c r="H96" s="13" t="n"/>
      <c r="I96" s="6" t="n"/>
    </row>
    <row r="97" ht="32" customHeight="1">
      <c r="A97" s="13" t="inlineStr">
        <is>
          <t>2026-10-07 15:12</t>
        </is>
      </c>
      <c r="B97" s="13" t="inlineStr">
        <is>
          <t>P0-16</t>
        </is>
      </c>
      <c r="C97" s="6" t="inlineStr">
        <is>
          <t>移除「醫生」身份與寫死的通關碼</t>
        </is>
      </c>
      <c r="D97" s="13" t="inlineStr">
        <is>
          <t>未開始</t>
        </is>
      </c>
      <c r="E97" s="13" t="inlineStr">
        <is>
          <t>進行中</t>
        </is>
      </c>
      <c r="F97" s="13" t="n"/>
      <c r="G97" s="6" t="n"/>
      <c r="H97" s="13" t="n"/>
      <c r="I97" s="6" t="n"/>
    </row>
    <row r="98" ht="88" customHeight="1">
      <c r="A98" s="13" t="inlineStr">
        <is>
          <t>2026-10-07 15:13</t>
        </is>
      </c>
      <c r="B98" s="13" t="inlineStr">
        <is>
          <t>P0-10</t>
        </is>
      </c>
      <c r="C98" s="6" t="inlineStr">
        <is>
          <t>生產環境關閉 /browser 測試頁與 /ws/browser</t>
        </is>
      </c>
      <c r="D98" s="13" t="inlineStr">
        <is>
          <t>進行中</t>
        </is>
      </c>
      <c r="E98" s="13" t="inlineStr">
        <is>
          <t>進行中</t>
        </is>
      </c>
      <c r="F98" s="13" t="inlineStr">
        <is>
          <t>通過</t>
        </is>
      </c>
      <c r="G98" s="6" t="inlineStr">
        <is>
          <t>pytest test_browser_test_routes.py 9 項通過（旗標未設/空/false/0/no → /browser 404、/ 404、/ws/browser 拒絕、/healthz 200；true/1/yes/TRUE → 頁面與路由恢復）；全套 182 passed。本機以生產設定實跑 uvicorn：GET / 404、/browser 404、/healthz 200、ws /ws/browser → HTTP 403</t>
        </is>
      </c>
      <c r="H98" s="13" t="inlineStr">
        <is>
          <t>d0cfbb8</t>
        </is>
      </c>
      <c r="I98" s="6" t="inlineStr">
        <is>
          <t>2026-10-07：本機 server/fastapi/.env 加 ENABLE_BROWSER_TEST=true 方便開發；線上不設。保持進行中：要隨下一批部署後在線上複測（GET https://elatoai.hkqft.com/fastapi/browser → 404）。</t>
        </is>
      </c>
    </row>
    <row r="99" ht="130" customHeight="1">
      <c r="A99" s="13" t="inlineStr">
        <is>
          <t>2026-10-07 15:22</t>
        </is>
      </c>
      <c r="B99" s="13" t="inlineStr">
        <is>
          <t>P0-16</t>
        </is>
      </c>
      <c r="C99" s="6" t="inlineStr">
        <is>
          <t>移除「醫生」身份與寫死的通關碼</t>
        </is>
      </c>
      <c r="D99" s="13" t="inlineStr">
        <is>
          <t>進行中</t>
        </is>
      </c>
      <c r="E99" s="13" t="inlineStr">
        <is>
          <t>進行中</t>
        </is>
      </c>
      <c r="F99" s="13" t="inlineStr">
        <is>
          <t>通過</t>
        </is>
      </c>
      <c r="G99" s="6" t="inlineStr">
        <is>
          <t>① grep checkDoctorAction/kiwi-subtle-emu/=== "doctor" → 0（以 staged 內容的乾淨 worktree 驗證）② tsc 通過；eslint(next/core-web-vitals) 改動檔 0 error（4 個 warning 為原有 hook 依賴）③ 本機新帳號實測：首頁只剩 Story/Children、無醫療/Santa/patient 字樣；onboarding 保存→ users 已更新、PATCH 204；設定頁正常。migration 20261007160000 本機：4 個 is_doctor 內建角色 is_hidden=true，authenticated UPDATE 欄位不再含 user_info</t>
        </is>
      </c>
      <c r="H99" s="13" t="inlineStr">
        <is>
          <t>3897269</t>
        </is>
      </c>
      <c r="I99" s="6" t="inlineStr">
        <is>
          <t>2026-10-07：專案沒有 ESLint 設定（next lint 會停在互動設定），以臨時 config 只檢查改動檔，正式 lint 屬 P2-02。migration 必須在新前端上線後才套用（舊前端每次保存都寫 user_info）。Santa Claus 原本也被標成 is_doctor，一起隱藏；需要時可在 admin 取消隱藏。保持進行中：隨下一批部署。</t>
        </is>
      </c>
    </row>
    <row r="100" ht="32" customHeight="1">
      <c r="A100" s="13" t="inlineStr">
        <is>
          <t>2026-10-07 15:29</t>
        </is>
      </c>
      <c r="B100" s="13" t="inlineStr">
        <is>
          <t>R-03</t>
        </is>
      </c>
      <c r="C100" s="6" t="inlineStr">
        <is>
          <t>移除不用的 Deno／Cloudflare 後端與上游預設主機</t>
        </is>
      </c>
      <c r="D100" s="13" t="inlineStr">
        <is>
          <t>未開始</t>
        </is>
      </c>
      <c r="E100" s="13" t="inlineStr">
        <is>
          <t>進行中</t>
        </is>
      </c>
      <c r="F100" s="13" t="n"/>
      <c r="G100" s="6" t="n"/>
      <c r="H100" s="13" t="n"/>
      <c r="I100" s="6" t="n"/>
    </row>
    <row r="101" ht="32" customHeight="1">
      <c r="A101" s="13" t="inlineStr">
        <is>
          <t>2026-10-07 15:29</t>
        </is>
      </c>
      <c r="B101" s="13" t="inlineStr">
        <is>
          <t>R-02</t>
        </is>
      </c>
      <c r="C101" s="6" t="inlineStr">
        <is>
          <t>角色收窄到 5–8 個粵語陪伴角色</t>
        </is>
      </c>
      <c r="D101" s="13" t="inlineStr">
        <is>
          <t>未開始</t>
        </is>
      </c>
      <c r="E101" s="13" t="inlineStr">
        <is>
          <t>進行中</t>
        </is>
      </c>
      <c r="F101" s="13" t="n"/>
      <c r="G101" s="6" t="n"/>
      <c r="H101" s="13" t="n"/>
      <c r="I101" s="6" t="n"/>
    </row>
    <row r="102" ht="102" customHeight="1">
      <c r="A102" s="13" t="inlineStr">
        <is>
          <t>2026-10-07 15:31</t>
        </is>
      </c>
      <c r="B102" s="13" t="inlineStr">
        <is>
          <t>R-03</t>
        </is>
      </c>
      <c r="C102" s="6" t="inlineStr">
        <is>
          <t>移除不用的 Deno／Cloudflare 後端與上游預設主機</t>
        </is>
      </c>
      <c r="D102" s="13" t="inlineStr">
        <is>
          <t>進行中</t>
        </is>
      </c>
      <c r="E102" s="13" t="inlineStr">
        <is>
          <t>已完成</t>
        </is>
      </c>
      <c r="F102" s="13" t="inlineStr">
        <is>
          <t>通過</t>
        </is>
      </c>
      <c r="G102" s="6" t="inlineStr">
        <is>
          <t>① grep deno.dev|workers.dev|railway.app|VOICE_SERVER_DENO|VOICE_SERVER_CLOUDFLARE 全 repo → 只剩 seed.json 的任務描述本身 ② pio run 18 個 env 全 SUCCESS（S3 devkit/Waveshare/xmini-c3/Spotpear 各變體）③ FastAPI pytest 182 passed；另 tsc --noEmit 通過</t>
        </is>
      </c>
      <c r="H102" s="13" t="inlineStr">
        <is>
          <t>c3c5249</t>
        </is>
      </c>
      <c r="I102" s="6" t="inlineStr">
        <is>
          <t>同時移除 ELATO_MODE（Railway + www.elatoai.com 及其證書）；前端 auth callback 原本在 NEXT_PUBLIC_VERCEL_ENV=production 時導去 elatoai.com，改為讀 runtime 的 SITE_URL（預設 localhost:3000）——部署時要在 frontend .env.production 設 SITE_URL</t>
        </is>
      </c>
    </row>
    <row r="103" ht="144" customHeight="1">
      <c r="A103" s="13" t="inlineStr">
        <is>
          <t>2026-10-07 15:31</t>
        </is>
      </c>
      <c r="B103" s="13" t="inlineStr">
        <is>
          <t>R-02</t>
        </is>
      </c>
      <c r="C103" s="6" t="inlineStr">
        <is>
          <t>角色收窄到 5–8 個粵語陪伴角色</t>
        </is>
      </c>
      <c r="D103" s="13" t="inlineStr">
        <is>
          <t>進行中</t>
        </is>
      </c>
      <c r="E103" s="13" t="inlineStr">
        <is>
          <t>進行中</t>
        </is>
      </c>
      <c r="F103" s="13" t="inlineStr">
        <is>
          <t>部分通過</t>
        </is>
      </c>
      <c r="G103" s="6" t="inlineStr">
        <is>
          <t>本地 DB 套 migration 20261007170000：① 未隱藏內建角色只剩 hk_ 6 個（40 個隱藏）② localhost:3100 以 seed 帳號登入，Children 頁只見 6 個新角色、Story 頁只見叮叮兔/咪咪貓 ③ 每角色 10 句粵語（用伺服器同一套 prompt 組裝）：gemma-4-26b 兩輪 132 句，128 句 ≤3 句且 ≤1 問，4 句輕微超（4 句或 2 問），無簡體/恐怖/拼字；minimax-m2.7 同測 66 句有 31 句超標並夾簡體、emoji、逐字母拼 apple → 不合格</t>
        </is>
      </c>
      <c r="H103" s="13" t="inlineStr">
        <is>
          <t>eeef046</t>
        </is>
      </c>
      <c r="I103" s="6" t="inlineStr">
        <is>
          <t>未完成：(1) 角色陣容待用戶確認 (2) 線上 LLM 若是 minimax-m2.7 則③不過，需確認雲端 app_settings 的 llm_model（本地是 google/gemma-4-26b-a4b-it）(3) migration 未套到雲端，要加入 release runbook 的 migration 清單 (4) 頭像為佔位扁平圖。另：測試帳號自建的 AI Hulk 是自訂角色（creator_id 非空），不受隱藏影響，但屬 Marvel IP</t>
        </is>
      </c>
    </row>
    <row r="104" ht="158" customHeight="1">
      <c r="A104" s="13" t="inlineStr">
        <is>
          <t>2026-10-07 15:31</t>
        </is>
      </c>
      <c r="B104" s="13" t="inlineStr">
        <is>
          <t>R-17</t>
        </is>
      </c>
      <c r="C104" s="6" t="inlineStr">
        <is>
          <t>Spotpear 電池耗盡時插電能否正常開機（供電路徑）</t>
        </is>
      </c>
      <c r="D104" s="13" t="inlineStr">
        <is>
          <t>未開始</t>
        </is>
      </c>
      <c r="E104" s="13" t="inlineStr">
        <is>
          <t>阻塞</t>
        </is>
      </c>
      <c r="F104" s="13" t="n"/>
      <c r="G104" s="6" t="n"/>
      <c r="H104" s="13" t="n"/>
      <c r="I104" s="6" t="inlineStr">
        <is>
          <t>等兩件事：(1) Spotpear 回覆充電芯片型號、充電電流、有沒有 power path（問題已草擬給用戶發送）(2) 用戶做一次實物放電：拔 USB 用到自動關機 → 插 USB 計時到能對話 → 插住用 30 分鐘。與 R-16 的放電測試同一次完成。韌體現況：brownout 重啟會補播低電提醒，運行記錄（開機時 Supply log）會記每次重啟原因，可據此判斷有沒有反覆 brownout；『掉電後先深睡充電』的緩解要等測試證明需要才做</t>
        </is>
      </c>
    </row>
    <row r="105" ht="88" customHeight="1">
      <c r="A105" s="13" t="inlineStr">
        <is>
          <t>2026-10-07 15:31</t>
        </is>
      </c>
      <c r="B105" s="13" t="inlineStr">
        <is>
          <t>R-16</t>
        </is>
      </c>
      <c r="C105" s="6" t="inlineStr">
        <is>
          <t>Spotpear 量產版加電池電壓檢測（GPIO0 分壓）</t>
        </is>
      </c>
      <c r="D105" s="13" t="inlineStr">
        <is>
          <t>未開始</t>
        </is>
      </c>
      <c r="E105" s="13" t="inlineStr">
        <is>
          <t>阻塞</t>
        </is>
      </c>
      <c r="F105" s="13" t="n"/>
      <c r="G105" s="6" t="n"/>
      <c r="H105" s="13" t="n"/>
      <c r="I105" s="6" t="inlineStr">
        <is>
          <t>仍按 10/06 決定暫緩：等用戶做充滿再放電測試（與 R-17 同一次），看 VDD 低電提醒在關機前多久觸發；太遲或不觸發才向 Spotpear 提改板。已把分壓改板的問題一併放進給 Spotpear 的草稿，方便同一封發出</t>
        </is>
      </c>
    </row>
    <row r="106" ht="172" customHeight="1">
      <c r="A106" s="13" t="inlineStr">
        <is>
          <t>2026-10-07 15:45</t>
        </is>
      </c>
      <c r="B106" s="13" t="inlineStr">
        <is>
          <t>R-02</t>
        </is>
      </c>
      <c r="C106" s="6" t="inlineStr">
        <is>
          <t>角色收窄到 5–8 個粵語陪伴角色</t>
        </is>
      </c>
      <c r="D106" s="13" t="inlineStr">
        <is>
          <t>進行中</t>
        </is>
      </c>
      <c r="E106" s="13" t="inlineStr">
        <is>
          <t>進行中</t>
        </is>
      </c>
      <c r="F106" s="13" t="inlineStr">
        <is>
          <t>通過</t>
        </is>
      </c>
      <c r="G106" s="6" t="inlineStr">
        <is>
          <t>用戶已確認角色陣容。本地 DB：① 未隱藏內建角色只剩 hk_ 6 個 ② localhost:3100 Children 頁只見 6 個、Story 頁只見叮叮兔/咪咪貓 ③ 每角色 10 句粵語，prompt 用伺服器同一套組裝、開場白按 pipecat 以 user 角色送出：gemma-4-26b 65/66 合格（1 句 4 句/2 問）；DeepSeek v4 flash 預設 reasoning 61/66（超標都只多 1–2 句）；全部無簡體、恐怖、拼字</t>
        </is>
      </c>
      <c r="H106" s="13" t="inlineStr">
        <is>
          <t>f72652b</t>
        </is>
      </c>
      <c r="I106" s="6" t="inlineStr">
        <is>
          <t>條件：線上 LLM 要用 gemma-4-26b，或 DeepSeek v4 flash 開 reasoning；DeepSeek 關 reasoning（effort=none）只有 49/66，多數 4 句。待辦：migration 20261007170000 未套到雲端，下次發布的 runbook 要列入（連同 140000、160000）。另發現：OpenRouter 上 DeepSeek v4 flash 部分供應商壞——DeepInfra 回傳字面 &lt;｜end▁of▁sentence｜&gt;、Venice/Parasail 回空內容，用 DeepSeek 時要在 app_settings 的 provider_order 固定好的供應商</t>
        </is>
      </c>
    </row>
    <row r="107" ht="32" customHeight="1">
      <c r="A107" s="13" t="inlineStr">
        <is>
          <t>2026-10-07 15:45</t>
        </is>
      </c>
      <c r="B107" s="13" t="inlineStr">
        <is>
          <t>P2-10</t>
        </is>
      </c>
      <c r="C107" s="6" t="inlineStr">
        <is>
          <t>DeepSeek v4 flash 經 OpenRouter 時固定可用的供應商</t>
        </is>
      </c>
      <c r="E107" s="13" t="inlineStr">
        <is>
          <t>未開始</t>
        </is>
      </c>
      <c r="I107" s="6" t="inlineStr">
        <is>
          <t>新增任務</t>
        </is>
      </c>
    </row>
    <row r="108" ht="32" customHeight="1">
      <c r="A108" s="13" t="inlineStr">
        <is>
          <t>2026-10-07 15:51</t>
        </is>
      </c>
      <c r="B108" s="13" t="inlineStr">
        <is>
          <t>P0-09</t>
        </is>
      </c>
      <c r="C108" s="6" t="inlineStr">
        <is>
          <t>瀏覽器語音路由改用簽名 token（/ws/nextjs）</t>
        </is>
      </c>
      <c r="D108" s="13" t="inlineStr">
        <is>
          <t>未開始</t>
        </is>
      </c>
      <c r="E108" s="13" t="inlineStr">
        <is>
          <t>進行中</t>
        </is>
      </c>
      <c r="F108" s="13" t="n"/>
      <c r="G108" s="6" t="n"/>
      <c r="H108" s="13" t="n"/>
      <c r="I108" s="6" t="n"/>
    </row>
    <row r="109" ht="130" customHeight="1">
      <c r="A109" s="13" t="inlineStr">
        <is>
          <t>2026-10-07 16:07</t>
        </is>
      </c>
      <c r="B109" s="13" t="inlineStr">
        <is>
          <t>P0-09</t>
        </is>
      </c>
      <c r="C109" s="6" t="inlineStr">
        <is>
          <t>瀏覽器語音路由改用簽名 token（/ws/nextjs）</t>
        </is>
      </c>
      <c r="D109" s="13" t="inlineStr">
        <is>
          <t>進行中</t>
        </is>
      </c>
      <c r="E109" s="13" t="inlineStr">
        <is>
          <t>進行中</t>
        </is>
      </c>
      <c r="F109" s="13" t="inlineStr">
        <is>
          <t>通過</t>
        </is>
      </c>
      <c r="G109" s="6" t="inlineStr">
        <is>
          <t>pytest test_device_auth.py 42 項（+12：web token、Node 簽的 web token、設備 token 不能開網頁、/ws/nextjs 只帶 user_id／設備 token／過期 → 4401、偽造 user_id 與 prompt 被忽略），全套 194 passed。本機實測：瀏覽器選嘟嘟龍按咪 → server action 簽 5 分鐘 token、URL 只有 token；用同一 token 加 admin 的 user_id 與偽造 prompt 連線 → 仍是測試帳號＋嘟嘟龍，對話兩行寫入測試帳號（ip house），admin 無寫入；記憶 session 開始與結束都對應測試帳號</t>
        </is>
      </c>
      <c r="H109" s="13" t="inlineStr">
        <is>
          <t>af99fdf</t>
        </is>
      </c>
      <c r="I109" s="6" t="inlineStr">
        <is>
          <t>2026-10-07：沿用 DEVICE_JWT_SECRET，以 aud/typ 區分。網頁與語音伺服器須同時上新版。保持進行中：隨下一批部署後線上複測。</t>
        </is>
      </c>
    </row>
    <row r="110" ht="32" customHeight="1">
      <c r="A110" s="13" t="inlineStr">
        <is>
          <t>2026-10-07 16:28</t>
        </is>
      </c>
      <c r="B110" s="13" t="inlineStr">
        <is>
          <t>P0-12</t>
        </is>
      </c>
      <c r="C110" s="6" t="inlineStr">
        <is>
          <t>收緊 Admin 權限與路由保護</t>
        </is>
      </c>
      <c r="D110" s="13" t="inlineStr">
        <is>
          <t>未開始</t>
        </is>
      </c>
      <c r="E110" s="13" t="inlineStr">
        <is>
          <t>進行中</t>
        </is>
      </c>
      <c r="F110" s="13" t="n"/>
      <c r="G110" s="6" t="n"/>
      <c r="H110" s="13" t="n"/>
      <c r="I110" s="6" t="n"/>
    </row>
    <row r="111" ht="116" customHeight="1">
      <c r="A111" s="13" t="inlineStr">
        <is>
          <t>2026-10-07 16:28</t>
        </is>
      </c>
      <c r="B111" s="13" t="inlineStr">
        <is>
          <t>P0-12</t>
        </is>
      </c>
      <c r="C111" s="6" t="inlineStr">
        <is>
          <t>收緊 Admin 權限與路由保護</t>
        </is>
      </c>
      <c r="D111" s="13" t="inlineStr">
        <is>
          <t>進行中</t>
        </is>
      </c>
      <c r="E111" s="13" t="inlineStr">
        <is>
          <t>進行中</t>
        </is>
      </c>
      <c r="F111" s="13" t="inlineStr">
        <is>
          <t>通過</t>
        </is>
      </c>
      <c r="G111" s="6" t="inlineStr">
        <is>
          <t>本機 REST＋真 GoTrue/TOTP 44/44：①家長 has_role=false、寫角色/app_settings/授權皆 42501，直接 POST server action 不生效；②內容管理員 aal2 可建/改/下架內建角色與 IP，改模型、授權、讀 turn_metrics 被拒；③aal1 管理員 has_role=false、/admin→/admin/mfa；④超管與內容管理員 aal2 讀他戶 conversations 410/memory_facts/segments/memories 皆 0 行；⑤未登入 /home→/login</t>
        </is>
      </c>
      <c r="H111" s="13" t="inlineStr">
        <is>
          <t>f7af39d</t>
        </is>
      </c>
      <c r="I111" s="6" t="inlineStr">
        <is>
          <t>2026-10-07 本機驗證通過，未部署。上線前：生產 GoTrue 開 TOTP（GOTRUE_MFA_TOTP_ENROLL/VERIFY_ENABLED=true）、套 20261007140000+180000、手動 INSERT 第一個 super_admin；P0-17（anon key 是否 secret）未解前 ④ 在生產不成立</t>
        </is>
      </c>
    </row>
    <row r="112" ht="60" customHeight="1">
      <c r="A112" s="13" t="inlineStr">
        <is>
          <t>2026-10-07 16:28</t>
        </is>
      </c>
      <c r="B112" s="13" t="inlineStr">
        <is>
          <t>P0-15</t>
        </is>
      </c>
      <c r="C112" s="6" t="inlineStr">
        <is>
          <t>角色表權限：只有內容管理員能發佈，關閉家長自建角色</t>
        </is>
      </c>
      <c r="D112" s="13" t="inlineStr">
        <is>
          <t>進行中</t>
        </is>
      </c>
      <c r="E112" s="13" t="inlineStr">
        <is>
          <t>進行中</t>
        </is>
      </c>
      <c r="F112" s="13" t="n"/>
      <c r="G112" s="6" t="n"/>
      <c r="H112" s="13" t="n"/>
      <c r="I112" s="6" t="inlineStr">
        <is>
          <t>2026-10-07 已 merge 進 modes-and-ips（55df0a1）；③ 經 P0-12 本機驗證：內容管理員 aal2 經 /admin 新增、修改、下架內建角色成功。② 仍未做</t>
        </is>
      </c>
    </row>
    <row r="113" ht="88" customHeight="1">
      <c r="A113" s="13" t="inlineStr">
        <is>
          <t>2026-10-07 17:13</t>
        </is>
      </c>
      <c r="B113" s="13" t="inlineStr">
        <is>
          <t>P0-15</t>
        </is>
      </c>
      <c r="C113" s="6" t="inlineStr">
        <is>
          <t>角色表權限：只有內容管理員能發佈，關閉家長自建角色</t>
        </is>
      </c>
      <c r="D113" s="13" t="inlineStr">
        <is>
          <t>進行中</t>
        </is>
      </c>
      <c r="E113" s="13" t="inlineStr">
        <is>
          <t>進行中</t>
        </is>
      </c>
      <c r="F113" s="13" t="inlineStr">
        <is>
          <t>部分通過</t>
        </is>
      </c>
      <c r="G113" s="6" t="inlineStr">
        <is>
          <t>② 本機 psql SET ROLE（交易後 ROLLBACK）：anon 見已發佈內建 6、隱藏 0、家長自建 0；家長 A 見自己的角色（含隱藏的自己的）、不見 B 的、不見 40 個隱藏內建；內容管理員 aal2 見 40 個隱藏內建、不見 B 的角色。①③ 先前已過。④ /home/create 仍是 redirect /home，這次沒在瀏覽器重測。</t>
        </is>
      </c>
      <c r="H113" s="13" t="inlineStr">
        <is>
          <t>1d65398</t>
        </is>
      </c>
      <c r="I113" s="6" t="inlineStr">
        <is>
          <t>2026-10-07 migration 20261007190000 已在本機套用，未部署。家長自己建立的角色（含 is_hidden）仍可讀，符合驗收「自己建立的角色」；讀不到的是隱藏內建與別人自建。</t>
        </is>
      </c>
    </row>
    <row r="114" ht="74" customHeight="1">
      <c r="A114" s="13" t="inlineStr">
        <is>
          <t>2026-10-07 17:49</t>
        </is>
      </c>
      <c r="B114" s="13" t="inlineStr">
        <is>
          <t>P0-12</t>
        </is>
      </c>
      <c r="C114" s="6" t="inlineStr">
        <is>
          <t>收緊 Admin 權限與路由保護</t>
        </is>
      </c>
      <c r="D114" s="13" t="inlineStr">
        <is>
          <t>進行中</t>
        </is>
      </c>
      <c r="E114" s="13" t="inlineStr">
        <is>
          <t>進行中</t>
        </is>
      </c>
      <c r="F114" s="13" t="n"/>
      <c r="G114" s="6" t="n"/>
      <c r="H114" s="13" t="n"/>
      <c r="I114" s="6" t="inlineStr">
        <is>
          <t>2026-10-07 用戶決定取消 TOTP：管理員只看帳號角色，登入後可直接進 /admin。has_role() 不再要求 aal2（20261007191000）。；修改了驗收標準、測試方法</t>
        </is>
      </c>
    </row>
    <row r="115" ht="158" customHeight="1">
      <c r="A115" s="13" t="inlineStr">
        <is>
          <t>2026-10-07 21:39</t>
        </is>
      </c>
      <c r="B115" s="13" t="inlineStr">
        <is>
          <t>P0-12</t>
        </is>
      </c>
      <c r="C115" s="6" t="inlineStr">
        <is>
          <t>收緊 Admin 權限與路由保護</t>
        </is>
      </c>
      <c r="D115" s="13" t="inlineStr">
        <is>
          <t>進行中</t>
        </is>
      </c>
      <c r="E115" s="13" t="inlineStr">
        <is>
          <t>進行中</t>
        </is>
      </c>
      <c r="F115" s="13" t="inlineStr">
        <is>
          <t>通過</t>
        </is>
      </c>
      <c r="G115" s="6" t="inlineStr">
        <is>
          <t>本機 REST＋server action＋頁面 61/61（全部 aal1 密碼登入，無 TOTP）：①家長 has_role=false，寫角色/app_settings/授權 42501，GET /admin→/home，直接 POST 3 個 action 均不生效；②內容管理員可建/改/下架內建角色與 IP、action 改角色成功，改模型/授權/名單/turn_metrics/openrouter API 均拒；超管可改模型（action 與 REST）、授權/撤權即時生效、不能撤自己；已綁驗證器的管理員密碼登入可進 /admin，/admin/mfa 404；③超管與內容管理員讀他戶 conversations 410/memory_facts/segments/memories 皆 0 行；④未登入 /home、/admin→/login；tsc 通過</t>
        </is>
      </c>
      <c r="H115" s="13" t="inlineStr">
        <is>
          <t>c16e1c2</t>
        </is>
      </c>
      <c r="I115" s="6" t="inlineStr">
        <is>
          <t>2026-10-07 c16e1c2 取消 TOTP 後重測通過。未部署：上線時 runbook 會套 20261007191000 並檢查 has_role() 不含 aal；生產 GoTrue 不再需要開 TOTP。本機 GoTrue 仍開著 TOTP（config.toml 已改，要 supabase stop/start 才生效），不影響權限</t>
        </is>
      </c>
    </row>
    <row r="116" ht="32" customHeight="1">
      <c r="A116" s="13" t="inlineStr">
        <is>
          <t>2026-10-07 21:47</t>
        </is>
      </c>
      <c r="B116" s="13" t="inlineStr">
        <is>
          <t>P2-10</t>
        </is>
      </c>
      <c r="C116" s="6" t="inlineStr">
        <is>
          <t>DeepSeek v4 flash 經 OpenRouter 時固定可用的供應商</t>
        </is>
      </c>
      <c r="D116" s="13" t="inlineStr">
        <is>
          <t>未開始</t>
        </is>
      </c>
      <c r="E116" s="13" t="inlineStr">
        <is>
          <t>進行中</t>
        </is>
      </c>
      <c r="F116" s="13" t="n"/>
      <c r="G116" s="6" t="n"/>
      <c r="H116" s="13" t="n"/>
      <c r="I116" s="6" t="n"/>
    </row>
    <row r="117" ht="144" customHeight="1">
      <c r="A117" s="13" t="inlineStr">
        <is>
          <t>2026-10-07 22:04</t>
        </is>
      </c>
      <c r="B117" s="13" t="inlineStr">
        <is>
          <t>P2-10</t>
        </is>
      </c>
      <c r="C117" s="6" t="inlineStr">
        <is>
          <t>DeepSeek v4 flash 經 OpenRouter 時固定可用的供應商</t>
        </is>
      </c>
      <c r="D117" s="13" t="inlineStr">
        <is>
          <t>進行中</t>
        </is>
      </c>
      <c r="E117" s="13" t="inlineStr">
        <is>
          <t>進行中</t>
        </is>
      </c>
      <c r="F117" s="13" t="inlineStr">
        <is>
          <t>部分通過</t>
        </is>
      </c>
      <c r="G117" s="6" t="inlineStr">
        <is>
          <t>① 16 家供應商各 20 次真實 session prompt（含開場白，串流，order=[x]+allow_fallbacks=false）：建議清單 azure/alibaba/novita/siliconflow/gmicloud 各 20/20，0 空內容 0 特殊 token，首字 p50 1.25/2.33/2.59/2.56/3.25s；只設 order 時 order=[deepinfra] 實際由 Relace 回應（回過 content=None）→ 已改為 allow_fallbacks=false。伺服器端 LLMOutputGuard：pytest 8 項（尾部/跨 chunk 拆開的 token、空回應記警告）全套 203 passed；真實 LLM 串流經 guard 6 角色 12/12 正常、無誤觸發。② 實機 5 次開場白未做</t>
        </is>
      </c>
      <c r="H117" s="13" t="inlineStr">
        <is>
          <t>58bc82b</t>
        </is>
      </c>
      <c r="I117" s="6" t="inlineStr">
        <is>
          <t>2026-10-07 58bc82b（分支 p2-10-provider-pinning，未合併、未部署）。上線後在管理頁設 provider_order=azure,alibaba,novita,siliconflow,gmicloud（或繼續用 gemma）。Azure 20 次中 1 次把孩子叫成「小柔」（prompt 無此名），屬模型偶發，非供應商問題</t>
        </is>
      </c>
    </row>
    <row r="118" ht="32" customHeight="1">
      <c r="A118" s="13" t="inlineStr">
        <is>
          <t>2026-10-07 22:06</t>
        </is>
      </c>
      <c r="B118" s="13" t="inlineStr">
        <is>
          <t>P0-13</t>
        </is>
      </c>
      <c r="C118" s="6" t="inlineStr">
        <is>
          <t>讓 OTA 真正可用並能回滾</t>
        </is>
      </c>
      <c r="D118" s="13" t="inlineStr">
        <is>
          <t>未開始</t>
        </is>
      </c>
      <c r="E118" s="13" t="inlineStr">
        <is>
          <t>進行中</t>
        </is>
      </c>
      <c r="F118" s="13" t="n"/>
      <c r="G118" s="6" t="n"/>
      <c r="H118" s="13" t="n"/>
      <c r="I118" s="6" t="n"/>
    </row>
    <row r="119" ht="130" customHeight="1">
      <c r="A119" s="13" t="inlineStr">
        <is>
          <t>2026-10-08 09:04</t>
        </is>
      </c>
      <c r="B119" s="13" t="inlineStr">
        <is>
          <t>P0-13</t>
        </is>
      </c>
      <c r="C119" s="6" t="inlineStr">
        <is>
          <t>讓 OTA 真正可用並能回滾</t>
        </is>
      </c>
      <c r="D119" s="13" t="inlineStr">
        <is>
          <t>進行中</t>
        </is>
      </c>
      <c r="E119" s="13" t="inlineStr">
        <is>
          <t>進行中</t>
        </is>
      </c>
      <c r="F119" s="13" t="inlineStr">
        <is>
          <t>部分通過</t>
        </is>
      </c>
      <c r="G119" s="6" t="inlineStr">
        <is>
          <t>本機：firmware_releases + 私有 bucket + /api/ota/check + /api/ota/firmware/[id]，API 16/16（無 token/web token/過期 → 401；只提供本板 current release；下載 1654400 bytes 與 build sha256 一致；回滾過的版本不再提供並記在 devices）；release_firmware.py 拒 localws build、拒重複版本；pio 18 個 env 全 SUCCESS，spotpear 1.58MB/2MB；Arduino 2.0.17 bootloader 已開 CONFIG_BOOTLOADER_APP_ROLLBACK_ENABLE（C3/S3）。①② 實機未做</t>
        </is>
      </c>
      <c r="H119" s="13" t="inlineStr">
        <is>
          <t>b27cc07</t>
        </is>
      </c>
      <c r="I119" s="6" t="inlineStr">
        <is>
          <t>2026-10-08 b27cc07（分支 p0-13-ota）。部署時要套 20261008100000_firmware_releases.sql，發佈要用 SUPABASE_URL+service key 跑 tools/release_firmware.py</t>
        </is>
      </c>
    </row>
    <row r="120" ht="144" customHeight="1">
      <c r="A120" s="13" t="inlineStr">
        <is>
          <t>2026-10-08 09:30</t>
        </is>
      </c>
      <c r="B120" s="13" t="inlineStr">
        <is>
          <t>P0-13</t>
        </is>
      </c>
      <c r="C120" s="6" t="inlineStr">
        <is>
          <t>讓 OTA 真正可用並能回滾</t>
        </is>
      </c>
      <c r="D120" s="13" t="inlineStr">
        <is>
          <t>進行中</t>
        </is>
      </c>
      <c r="E120" s="13" t="inlineStr">
        <is>
          <t>進行中</t>
        </is>
      </c>
      <c r="F120" s="13" t="inlineStr">
        <is>
          <t>通過</t>
        </is>
      </c>
      <c r="G120" s="6" t="inlineStr">
        <is>
          <t>實機開發板 63:64（localall，本機後端）：① 1.1.0→1.2.1 OTA 下載 14s、sha256 過、重啟到 app1 試用、連上語音伺服器後穩定 120s 才 confirmed、開場白播完、devices 記 1.2.1 ② 推開機 3s 崩潰的 1.2.2：安裝→崩潰→bootloader 1s 內回到 1.2.1『rolled back from 1.2.2』→上報 ota_failed_version=1.2.2→再重啟不再下載。過程中測出並修好 2 個 bug：收到 auth 即確認太早（1.0.2 確認後崩潰循環，887b769 改為穩定 2 分鐘）；millis()|1 計時繞回導致誤回滾（3a874dd）。API 16/16，pio 全 env 通過</t>
        </is>
      </c>
      <c r="H120" s="13" t="inlineStr">
        <is>
          <t>3a874dd</t>
        </is>
      </c>
      <c r="I120" s="6" t="inlineStr">
        <is>
          <t>2026-10-08 實機①②通過，未部署。上線要：套 20261008100000、部署前端、用 release_firmware.py 發佈正式 build；生產 HTTPS（同 CF CA）的 1.6MB 下載尚未在線上驗證。開發板現跑 1.2.1 localall。未做：已確認版本日後若崩潰循環不會自動切回舊槽，需 USB 救（可另立任務）</t>
        </is>
      </c>
    </row>
    <row r="121" ht="144" customHeight="1">
      <c r="A121" s="13" t="inlineStr">
        <is>
          <t>2026-10-08 09:45</t>
        </is>
      </c>
      <c r="B121" s="13" t="inlineStr">
        <is>
          <t>P0-13</t>
        </is>
      </c>
      <c r="C121" s="6" t="inlineStr">
        <is>
          <t>讓 OTA 真正可用並能回滾</t>
        </is>
      </c>
      <c r="D121" s="13" t="inlineStr">
        <is>
          <t>進行中</t>
        </is>
      </c>
      <c r="E121" s="13" t="inlineStr">
        <is>
          <t>進行中</t>
        </is>
      </c>
      <c r="F121" s="13" t="n"/>
      <c r="G121" s="6" t="n"/>
      <c r="H121" s="13" t="inlineStr">
        <is>
          <t>68b9550</t>
        </is>
      </c>
      <c r="I121" s="6" t="inlineStr">
        <is>
          <t>2026-10-08 OTA 檢查併入 /api/generate_auth_token（68b9550），開機回到一次 TLS 握手；/api/ota/check 移除。token 路徑 API 11/11（舊韌體無 ota、格式錯仍發 token、回滾版本不再提供）；實機 1.3.0→1.3.1 經 token 回應安裝、試用、播完開場白、120s 確認。第一次升級 1.3.1 被 async_tcp 任務看門狗觸發重啟並正確回滾——是既有韌體 bug，見新任務</t>
        </is>
      </c>
    </row>
    <row r="122" ht="32" customHeight="1">
      <c r="A122" s="13" t="inlineStr">
        <is>
          <t>2026-10-08 09:45</t>
        </is>
      </c>
      <c r="B122" s="13" t="inlineStr">
        <is>
          <t>P2-11</t>
        </is>
      </c>
      <c r="C122" s="6" t="inlineStr">
        <is>
          <t>C3 播放時 async_tcp 觸發任務看門狗重啟</t>
        </is>
      </c>
      <c r="E122" s="13" t="inlineStr">
        <is>
          <t>未開始</t>
        </is>
      </c>
      <c r="I122" s="6" t="inlineStr">
        <is>
          <t>新增任務</t>
        </is>
      </c>
    </row>
    <row r="123" ht="32" customHeight="1">
      <c r="A123" s="13" t="inlineStr">
        <is>
          <t>2026-10-08 09:47</t>
        </is>
      </c>
      <c r="B123" s="13" t="inlineStr">
        <is>
          <t>P2-11</t>
        </is>
      </c>
      <c r="C123" s="6" t="inlineStr">
        <is>
          <t>C3 播放時 async_tcp 觸發任務看門狗重啟</t>
        </is>
      </c>
      <c r="D123" s="13" t="inlineStr">
        <is>
          <t>未開始</t>
        </is>
      </c>
      <c r="E123" s="13" t="inlineStr">
        <is>
          <t>進行中</t>
        </is>
      </c>
      <c r="F123" s="13" t="n"/>
      <c r="G123" s="6" t="n"/>
      <c r="H123" s="13" t="n"/>
      <c r="I123" s="6" t="n"/>
    </row>
    <row r="124" ht="158" customHeight="1">
      <c r="A124" s="13" t="inlineStr">
        <is>
          <t>2026-10-08 10:42</t>
        </is>
      </c>
      <c r="B124" s="13" t="inlineStr">
        <is>
          <t>P2-11</t>
        </is>
      </c>
      <c r="C124" s="6" t="inlineStr">
        <is>
          <t>C3 播放時 async_tcp 觸發任務看門狗重啟</t>
        </is>
      </c>
      <c r="D124" s="13" t="inlineStr">
        <is>
          <t>進行中</t>
        </is>
      </c>
      <c r="E124" s="13" t="inlineStr">
        <is>
          <t>進行中</t>
        </is>
      </c>
      <c r="F124" s="13" t="n"/>
      <c r="G124" s="6" t="n"/>
      <c r="H124" s="13" t="n"/>
      <c r="I124" s="6" t="inlineStr">
        <is>
          <t>2026-10-08 查明真正原因：不是 async_tcp 被搶 CPU。decodeTask 每輪在 vTaskSuspendAll() 下解碼一個封包量 CPU，解碼寫入已滿的播放環形緩衝區時 writeArray() 等空位，但排程器已停、揚聲器 task 無法消耗 → 卡死，看門狗報 async_tcp（唯一訂閱者）未回報。原驗收（關 AsyncTCP WDT / SoftAP 測試）按錯誤猜測寫，已改；關 WDT 只會把重啟變成永久卡住；修改了驗收標準、測試方法</t>
        </is>
      </c>
    </row>
    <row r="125" ht="88" customHeight="1">
      <c r="A125" s="13" t="inlineStr">
        <is>
          <t>2026-10-08 10:42</t>
        </is>
      </c>
      <c r="B125" s="13" t="inlineStr">
        <is>
          <t>P2-11</t>
        </is>
      </c>
      <c r="C125" s="6" t="inlineStr">
        <is>
          <t>C3 播放時 async_tcp 觸發任務看門狗重啟</t>
        </is>
      </c>
      <c r="D125" s="13" t="inlineStr">
        <is>
          <t>進行中</t>
        </is>
      </c>
      <c r="E125" s="13" t="inlineStr">
        <is>
          <t>進行中</t>
        </is>
      </c>
      <c r="F125" s="13" t="inlineStr">
        <is>
          <t>部分通過</t>
        </is>
      </c>
      <c r="G125" s="6" t="inlineStr">
        <is>
          <t>① 1.3.4 localall 連續重啟 30 次：開場白 30/30、task_wdt 0、panic 0（修正前 19 次 4 次）；CPU 抽樣仍每輪 2–7 次，解碼約 8.6–9.3ms/封包。排除過程：關 AsyncTCP WDT 只把重啟變成卡住（30 次 3 次靜默&gt;17s）；Serial.setTxTimeoutMs(0) 仍 30 次 2 次 → 均撤回。② 20 輪對話待用戶</t>
        </is>
      </c>
      <c r="H125" s="13" t="inlineStr">
        <is>
          <t>8e8b449</t>
        </is>
      </c>
      <c r="I125" s="6" t="n"/>
    </row>
    <row r="126" ht="74" customHeight="1">
      <c r="A126" s="13" t="inlineStr">
        <is>
          <t>2026-10-08 10:51</t>
        </is>
      </c>
      <c r="B126" s="13" t="inlineStr">
        <is>
          <t>P2-11</t>
        </is>
      </c>
      <c r="C126" s="6" t="inlineStr">
        <is>
          <t>C3 播放時 async_tcp 觸發任務看門狗重啟</t>
        </is>
      </c>
      <c r="D126" s="13" t="inlineStr">
        <is>
          <t>進行中</t>
        </is>
      </c>
      <c r="E126" s="13" t="inlineStr">
        <is>
          <t>已完成</t>
        </is>
      </c>
      <c r="F126" s="13" t="inlineStr">
        <is>
          <t>通過</t>
        </is>
      </c>
      <c r="G126" s="6" t="inlineStr">
        <is>
          <t>① 1.3.4 連續重啟 30 次：開場白 30/30、task_wdt 0、panic 0（修正前 19 次 4 次）② 用戶實際對話 20 輪（10:44–10:50）：20 輪都有回應，3 次未完成皆為用戶插話打斷且隨即恢復，短按合併為單輪；task_wdt 0、panic 0；CPU 抽樣照常（每輪 9–13 個）</t>
        </is>
      </c>
      <c r="H126" s="13" t="inlineStr">
        <is>
          <t>8e8b449</t>
        </is>
      </c>
      <c r="I126" s="6" t="n"/>
    </row>
    <row r="127" ht="158" customHeight="1">
      <c r="A127" s="13" t="inlineStr">
        <is>
          <t>2026-10-08 11:05</t>
        </is>
      </c>
      <c r="B127" s="13" t="inlineStr">
        <is>
          <t>R-17</t>
        </is>
      </c>
      <c r="C127" s="6" t="inlineStr">
        <is>
          <t>Spotpear 電池耗盡時插電能否正常開機（供電路徑）</t>
        </is>
      </c>
      <c r="D127" s="13" t="inlineStr">
        <is>
          <t>阻塞</t>
        </is>
      </c>
      <c r="E127" s="13" t="inlineStr">
        <is>
          <t>阻塞</t>
        </is>
      </c>
      <c r="F127" s="13" t="n"/>
      <c r="G127" s="6" t="n"/>
      <c r="H127" s="13" t="n"/>
      <c r="I127" s="6" t="inlineStr">
        <is>
          <t>2026-10-08 開發板 63:64 插著 USB 時兩次無法解釋的完全斷電重開：09:13:26（崩潰循環中）、10:44:33（閒置、用戶確認沒碰）。都是 USB 先斷線再以 ESP_RST_POWERON 開機，非 brownout；斷電前 6 秒 GPIO0 讀數 99.9% 參考值，屬突然切斷而非緩降（SupplyMonitor 取樣太疏抓不到瞬間）。韌體無法造成 POWERON，指向充電芯片/電池保護/供電路徑，應一併問 Spotpear；放電實測時留意插 USB 閒置時是否也會斷電</t>
        </is>
      </c>
    </row>
    <row r="128" ht="186" customHeight="1">
      <c r="A128" s="13" t="inlineStr">
        <is>
          <t>2026-10-08 18:02</t>
        </is>
      </c>
      <c r="B128" s="13" t="inlineStr">
        <is>
          <t>P0-13</t>
        </is>
      </c>
      <c r="C128" s="6" t="inlineStr">
        <is>
          <t>讓 OTA 真正可用並能回滾</t>
        </is>
      </c>
      <c r="D128" s="13" t="inlineStr">
        <is>
          <t>進行中</t>
        </is>
      </c>
      <c r="E128" s="13" t="inlineStr">
        <is>
          <t>進行中</t>
        </is>
      </c>
      <c r="F128" s="13" t="n"/>
      <c r="G128" s="6" t="n"/>
      <c r="H128" s="13" t="inlineStr">
        <is>
          <t>682f3b4</t>
        </is>
      </c>
      <c r="I128" s="6" t="inlineStr">
        <is>
          <t>2026-10-08 交板前強化（682f3b4）：① 確認後連續崩潰 3 次 → 切回另一槽位（每段崩潰期一次）、立即重新確認、上報失敗 ② 回滾按重啟原因判定：崩潰/看門狗即失敗，斷電等非崩潰原因可重試 2 次（R-17 會自己斷電）。實機 1.5.x：試用期內 EN 重啟 → 重試第 2 次並確認；1.5.2 確認後崩潰 3 次 → 回 1.5.1、重新確認、報失敗；1.5.3 試用期崩潰 → 回滾、reason 4 即報失敗。runbook 已加 20261008100000 與 OTA 檢查（3aa632a）。上線後須用開發板對雲端走一次 HTTPS OTA 再交板</t>
        </is>
      </c>
    </row>
    <row r="129" ht="172" customHeight="1">
      <c r="A129" s="13" t="inlineStr">
        <is>
          <t>2026-10-09 14:42</t>
        </is>
      </c>
      <c r="B129" s="13" t="inlineStr">
        <is>
          <t>P0-13</t>
        </is>
      </c>
      <c r="C129" s="6" t="inlineStr">
        <is>
          <t>讓 OTA 真正可用並能回滾</t>
        </is>
      </c>
      <c r="D129" s="13" t="inlineStr">
        <is>
          <t>進行中</t>
        </is>
      </c>
      <c r="E129" s="13" t="inlineStr">
        <is>
          <t>已完成</t>
        </is>
      </c>
      <c r="F129" s="13" t="inlineStr">
        <is>
          <t>通過</t>
        </is>
      </c>
      <c r="G129" s="6" t="inlineStr">
        <is>
          <t>生產雲端 HTTPS OTA（2026-10-09）：release_firmware.py publish spotpear-ai-toy --current → 1.0.1 現行；42:34 開機 1.0.0 → token 回應 Installing 1.0.1 (1655776 bytes) → 經 Cloudflare+nginx 下載 100% → 重啟到 app1 on probation → 連上語音伺服器 → 120s 後『Firmware 1.0.1 confirmed』。②崩潰回滾沿用 10-08 開發板實測（1.2.2/1.5.3 回滾、1.5.2 切回舊槽）；本機 63:64 1.5.1→1.6.1 亦確認</t>
        </is>
      </c>
      <c r="H129" s="13" t="inlineStr">
        <is>
          <t>036c0f9</t>
        </is>
      </c>
      <c r="I129" s="6" t="inlineStr">
        <is>
          <t>2026-10-09 上線前兩個阻礙已修：① Cloudflare 對 Python-urllib UA 回 403 error 1010 → release_firmware.py 自帶 User-Agent（036c0f9）② 主機 nginx /supabase-api/ 預設 1MB 上限 → 413，已在 /home/jackylee/nginx/conf.d/elatoai.conf 兩段 location 加 client_max_body_size 16m（備份 ~/nginx/elatoai.conf.2026-10-09.bak）。雲端此前沒有任何 Spotpear release。service key 只在伺服器 .env.production</t>
        </is>
      </c>
    </row>
    <row r="130" ht="102" customHeight="1">
      <c r="A130" s="13" t="inlineStr">
        <is>
          <t>2026-10-09 16:03</t>
        </is>
      </c>
      <c r="B130" s="13" t="inlineStr">
        <is>
          <t>R-06</t>
        </is>
      </c>
      <c r="C130" s="6" t="inlineStr">
        <is>
          <t>家長自助上手流程</t>
        </is>
      </c>
      <c r="D130" s="13" t="inlineStr">
        <is>
          <t>未開始</t>
        </is>
      </c>
      <c r="E130" s="13" t="inlineStr">
        <is>
          <t>未開始</t>
        </is>
      </c>
      <c r="F130" s="13" t="n"/>
      <c r="G130" s="6" t="n"/>
      <c r="H130" s="13" t="n"/>
      <c r="I130" s="6" t="inlineStr">
        <is>
          <t>2026-10-09 配網熱點由所有板同名的 ELATO-DEVICE 改為 AIBuddy-XXXX（STA MAC 尾 4 位，22ce0ae），App 的「找不到設備」提示同步改；雲端 1.0.1 已 OTA 推出。62:70 用手機連 AIBuddy-6270 配網成功。家長自助流程本身仍未找非團隊成員測試</t>
        </is>
      </c>
    </row>
    <row r="131" ht="32" customHeight="1">
      <c r="A131" s="13" t="inlineStr">
        <is>
          <t>2026-10-09 16:03</t>
        </is>
      </c>
      <c r="B131" s="13" t="inlineStr">
        <is>
          <t>R-18</t>
        </is>
      </c>
      <c r="C131" s="6" t="inlineStr">
        <is>
          <t>長按 BOOT 重新配網（開 AIBuddy-XXXX 熱點）</t>
        </is>
      </c>
      <c r="E131" s="13" t="inlineStr">
        <is>
          <t>未開始</t>
        </is>
      </c>
      <c r="I131" s="6" t="inlineStr">
        <is>
          <t>新增任務</t>
        </is>
      </c>
    </row>
    <row r="132" ht="32" customHeight="1">
      <c r="A132" s="13" t="inlineStr">
        <is>
          <t>2026-10-09 16:03</t>
        </is>
      </c>
      <c r="B132" s="13" t="inlineStr">
        <is>
          <t>P2-12</t>
        </is>
      </c>
      <c r="C132" s="6" t="inlineStr">
        <is>
          <t>量產燒錄前加大 app 分區</t>
        </is>
      </c>
      <c r="E132" s="13" t="inlineStr">
        <is>
          <t>未開始</t>
        </is>
      </c>
      <c r="I132" s="6" t="inlineStr">
        <is>
          <t>新增任務</t>
        </is>
      </c>
    </row>
    <row r="133" ht="32" customHeight="1">
      <c r="A133" s="13" t="inlineStr">
        <is>
          <t>2026-10-09 16:03</t>
        </is>
      </c>
      <c r="B133" s="13" t="inlineStr">
        <is>
          <t>R-19</t>
        </is>
      </c>
      <c r="C133" s="6" t="inlineStr">
        <is>
          <t>外接按鈕：量產板加 I2C 擴展晶片（TCA9555）</t>
        </is>
      </c>
      <c r="E133" s="13" t="inlineStr">
        <is>
          <t>未開始</t>
        </is>
      </c>
      <c r="I133" s="6" t="inlineStr">
        <is>
          <t>新增任務</t>
        </is>
      </c>
    </row>
    <row r="134" ht="32" customHeight="1">
      <c r="A134" s="13" t="inlineStr">
        <is>
          <t>2026-10-09 16:03</t>
        </is>
      </c>
      <c r="B134" s="13" t="inlineStr">
        <is>
          <t>R-10</t>
        </is>
      </c>
      <c r="C134" s="6" t="inlineStr">
        <is>
          <t>出廠流程</t>
        </is>
      </c>
      <c r="D134" s="13" t="inlineStr">
        <is>
          <t>未開始</t>
        </is>
      </c>
      <c r="E134" s="13" t="inlineStr">
        <is>
          <t>未開始</t>
        </is>
      </c>
      <c r="F134" s="13" t="n"/>
      <c r="G134" s="6" t="n"/>
      <c r="H134" s="13" t="n"/>
      <c r="I134" s="6" t="inlineStr">
        <is>
          <t>修改了依賴→P0-06, P0-14, R-01, P2-12</t>
        </is>
      </c>
    </row>
    <row r="135" ht="32" customHeight="1">
      <c r="A135" s="13" t="inlineStr">
        <is>
          <t>2026-10-09 20:46</t>
        </is>
      </c>
      <c r="B135" s="13" t="inlineStr">
        <is>
          <t>P1-12</t>
        </is>
      </c>
      <c r="C135" s="6" t="inlineStr">
        <is>
          <t>設備解綁時的記憶處理：確認、預設保留、可選清除</t>
        </is>
      </c>
      <c r="E135" s="13" t="inlineStr">
        <is>
          <t>未開始</t>
        </is>
      </c>
      <c r="I135" s="6" t="inlineStr">
        <is>
          <t>新增任務</t>
        </is>
      </c>
    </row>
    <row r="136" ht="46" customHeight="1">
      <c r="A136" s="13" t="inlineStr">
        <is>
          <t>2026-10-09 20:46</t>
        </is>
      </c>
      <c r="B136" s="13" t="inlineStr">
        <is>
          <t>P1-03</t>
        </is>
      </c>
      <c r="C136" s="6" t="inlineStr">
        <is>
          <t>資料保留期限與自動清理</t>
        </is>
      </c>
      <c r="D136" s="13" t="inlineStr">
        <is>
          <t>未開始</t>
        </is>
      </c>
      <c r="E136" s="13" t="inlineStr">
        <is>
          <t>未開始</t>
        </is>
      </c>
      <c r="F136" s="13" t="n"/>
      <c r="G136" s="6" t="n"/>
      <c r="H136" s="13" t="n"/>
      <c r="I136" s="6" t="inlineStr">
        <is>
          <t>解綁時選擇保留的記憶（P1-12）沒有設備綁定，也要納入保留期限，例如帳號沒有設備且 12 個月沒活動就清除。</t>
        </is>
      </c>
    </row>
    <row r="137" ht="46" customHeight="1">
      <c r="A137" s="13" t="inlineStr">
        <is>
          <t>2026-10-09 20:46</t>
        </is>
      </c>
      <c r="B137" s="13" t="inlineStr">
        <is>
          <t>R-11</t>
        </is>
      </c>
      <c r="C137" s="6" t="inlineStr">
        <is>
          <t>售後：客服、保修與換機</t>
        </is>
      </c>
      <c r="D137" s="13" t="inlineStr">
        <is>
          <t>未開始</t>
        </is>
      </c>
      <c r="E137" s="13" t="inlineStr">
        <is>
          <t>未開始</t>
        </is>
      </c>
      <c r="F137" s="13" t="n"/>
      <c r="G137" s="6" t="n"/>
      <c r="H137" s="13" t="n"/>
      <c r="I137" s="6" t="inlineStr">
        <is>
          <t>換機時記憶不用搬：記憶跟帳號，同一帳號認領新設備就會繼續（P1-12 TC4）。</t>
        </is>
      </c>
    </row>
    <row r="138" ht="172" customHeight="1">
      <c r="A138" s="13" t="inlineStr">
        <is>
          <t>2026-10-09 21:03</t>
        </is>
      </c>
      <c r="B138" s="13" t="inlineStr">
        <is>
          <t>P1-12</t>
        </is>
      </c>
      <c r="C138" s="6" t="inlineStr">
        <is>
          <t>設備解綁時的記憶處理：確認、預設保留、可選清除</t>
        </is>
      </c>
      <c r="D138" s="13" t="inlineStr">
        <is>
          <t>未開始</t>
        </is>
      </c>
      <c r="E138" s="13" t="inlineStr">
        <is>
          <t>未開始</t>
        </is>
      </c>
      <c r="F138" s="13" t="n"/>
      <c r="G138" s="6" t="n"/>
      <c r="H138" s="13" t="n"/>
      <c r="I138" s="6" t="inlineStr">
        <is>
          <t>補充 ⑧⑨ 和 TC12、TC13（2026-10-09）：現在 /ws/esp32 只驗 token 簽名，不查是否已認領；token 存在玩具 RAM 裡 24 小時不會重新檢查，所以解綁後不重開機仍能以預設角色、無記憶對話。要改 server/fastapi/server.py（/ws/esp32 與解綁時斷線）和 unbindDeviceAction（通知語音伺服器）。本機開發模式（NEXT_PUBLIC_SKIP_DEVICE_REGISTRATION=True）允許未認領設備對話，⑧ 要對這個模式保留同樣的例外。；修改了驗收標準、測試方法</t>
        </is>
      </c>
    </row>
    <row r="139" ht="32" customHeight="1">
      <c r="A139" s="13" t="inlineStr">
        <is>
          <t>2026-10-09 21:04</t>
        </is>
      </c>
      <c r="B139" s="13" t="inlineStr">
        <is>
          <t>P1-12</t>
        </is>
      </c>
      <c r="C139" s="6" t="inlineStr">
        <is>
          <t>設備解綁時的記憶處理：確認、預設保留、可選清除</t>
        </is>
      </c>
      <c r="D139" s="13" t="inlineStr">
        <is>
          <t>未開始</t>
        </is>
      </c>
      <c r="E139" s="13" t="inlineStr">
        <is>
          <t>進行中</t>
        </is>
      </c>
      <c r="F139" s="13" t="n"/>
      <c r="G139" s="6" t="n"/>
      <c r="H139" s="13" t="n"/>
      <c r="I139" s="6" t="n"/>
    </row>
    <row r="140" ht="130" customHeight="1">
      <c r="A140" s="13" t="inlineStr">
        <is>
          <t>2026-10-09 21:53</t>
        </is>
      </c>
      <c r="B140" s="13" t="inlineStr">
        <is>
          <t>P1-12</t>
        </is>
      </c>
      <c r="C140" s="6" t="inlineStr">
        <is>
          <t>設備解綁時的記憶處理：確認、預設保留、可選清除</t>
        </is>
      </c>
      <c r="D140" s="13" t="inlineStr">
        <is>
          <t>進行中</t>
        </is>
      </c>
      <c r="E140" s="13" t="inlineStr">
        <is>
          <t>進行中</t>
        </is>
      </c>
      <c r="F140" s="13" t="n"/>
      <c r="G140" s="6" t="n"/>
      <c r="H140" s="13" t="n"/>
      <c r="I140" s="6" t="inlineStr">
        <is>
          <t>決定改變（2026-10-09 晚）：用戶決定記憶跟設備，不跟帳號（一個帳號可綁多台，多數是一個孩子一台）。網頁語音不開記憶；舊資料歸到帳號最早認領的設備。分支 p1-12-unbind-memory（建在 multi-device-binding 9c8e106 上），commit 8bb9fb8 + 98faef9，未 push、未部署。；修改了驗收標準、測試方法</t>
        </is>
      </c>
    </row>
    <row r="141" ht="116" customHeight="1">
      <c r="A141" s="13" t="inlineStr">
        <is>
          <t>2026-10-09 21:53</t>
        </is>
      </c>
      <c r="B141" s="13" t="inlineStr">
        <is>
          <t>P1-12</t>
        </is>
      </c>
      <c r="C141" s="6" t="inlineStr">
        <is>
          <t>設備解綁時的記憶處理：確認、預設保留、可選清除</t>
        </is>
      </c>
      <c r="D141" s="13" t="inlineStr">
        <is>
          <t>進行中</t>
        </is>
      </c>
      <c r="E141" s="13" t="inlineStr">
        <is>
          <t>進行中</t>
        </is>
      </c>
      <c r="F141" s="13" t="inlineStr">
        <is>
          <t>部分通過</t>
        </is>
      </c>
      <c r="G141" s="6" t="inlineStr">
        <is>
          <t>本機（開發板 DEV636 身份的模擬裝置 + 網頁）：TC1/2/5/6/7/8/10/11/13 通過；TC3 重綁後 log『Loaded 2 fact(s)』；TC4 第二台 starts cold、設定頁可切換；TC9 DB 層 B 解綁回 NULL、清除報錯，anon/authenticated 無 EXECUTE；TC10 舊代數寫入三表皆 HTTP 400、清除後 40 秒仍 0 行；TC12 伺服器端 4401 通過；pytest 214 passed。未做：TC12 真機 202/配對、TC3 真機問答、TC14 網頁語音。</t>
        </is>
      </c>
      <c r="H141" s="13" t="inlineStr">
        <is>
          <t>98faef9</t>
        </is>
      </c>
      <c r="I141" s="6" t="n"/>
    </row>
    <row r="142" ht="102" customHeight="1">
      <c r="A142" s="13" t="inlineStr">
        <is>
          <t>2026-10-09 21:54</t>
        </is>
      </c>
      <c r="B142" s="13" t="inlineStr">
        <is>
          <t>R-11</t>
        </is>
      </c>
      <c r="C142" s="6" t="inlineStr">
        <is>
          <t>售後：客服、保修與換機</t>
        </is>
      </c>
      <c r="D142" s="13" t="inlineStr">
        <is>
          <t>未開始</t>
        </is>
      </c>
      <c r="E142" s="13" t="inlineStr">
        <is>
          <t>未開始</t>
        </is>
      </c>
      <c r="F142" s="13" t="n"/>
      <c r="G142" s="6" t="n"/>
      <c r="H142" s="13" t="n"/>
      <c r="I142" s="6" t="inlineStr">
        <is>
          <t>更正（2026-10-09 晚）：記憶改成跟設備（P1-12），換新設備會從空白開始。換機流程要加「把舊設備的記憶搬到新設備」：把 memory_facts、memory_segments、conversations 的 device_id 從舊機改成新機（同一 user_id），並由超級管理員執行。</t>
        </is>
      </c>
    </row>
    <row r="143" ht="88" customHeight="1">
      <c r="A143" s="13" t="inlineStr">
        <is>
          <t>2026-10-09 21:54</t>
        </is>
      </c>
      <c r="B143" s="13" t="inlineStr">
        <is>
          <t>P1-03</t>
        </is>
      </c>
      <c r="C143" s="6" t="inlineStr">
        <is>
          <t>資料保留期限與自動清理</t>
        </is>
      </c>
      <c r="D143" s="13" t="inlineStr">
        <is>
          <t>未開始</t>
        </is>
      </c>
      <c r="E143" s="13" t="inlineStr">
        <is>
          <t>未開始</t>
        </is>
      </c>
      <c r="F143" s="13" t="n"/>
      <c r="G143" s="6" t="n"/>
      <c r="H143" s="13" t="n"/>
      <c r="I143" s="6" t="inlineStr">
        <is>
          <t>補充（2026-10-09 晚）：記憶改成跟設備後，解綁時保留的記憶掛在已解綁的設備名下，家長在設定頁看不到也清不了；還有 device_id 為 NULL 的舊記憶（沒有設備的帳號）。兩者都要納入保留期限自動清理。</t>
        </is>
      </c>
    </row>
    <row r="144" ht="32" customHeight="1">
      <c r="A144" s="13" t="inlineStr">
        <is>
          <t>2026-10-09 21:54</t>
        </is>
      </c>
      <c r="B144" s="13" t="inlineStr">
        <is>
          <t>R-20</t>
        </is>
      </c>
      <c r="C144" s="6" t="inlineStr">
        <is>
          <t>孩子資料與角色改成每台設備一份</t>
        </is>
      </c>
      <c r="E144" s="13" t="inlineStr">
        <is>
          <t>未開始</t>
        </is>
      </c>
      <c r="I144" s="6" t="inlineStr">
        <is>
          <t>新增任務</t>
        </is>
      </c>
    </row>
    <row r="145" ht="88" customHeight="1">
      <c r="A145" s="13" t="inlineStr">
        <is>
          <t>2026-10-12 10:42</t>
        </is>
      </c>
      <c r="B145" s="13" t="inlineStr">
        <is>
          <t>P0-02</t>
        </is>
      </c>
      <c r="C145" s="6" t="inlineStr">
        <is>
          <t>收緊 conversations 表的 RLS</t>
        </is>
      </c>
      <c r="D145" s="13" t="inlineStr">
        <is>
          <t>進行中</t>
        </is>
      </c>
      <c r="E145" s="13" t="inlineStr">
        <is>
          <t>已完成</t>
        </is>
      </c>
      <c r="F145" s="13" t="inlineStr">
        <is>
          <t>通過</t>
        </is>
      </c>
      <c r="G145" s="6" t="inlineStr">
        <is>
          <t>線上 2026-10-12（bac24e9）：用網站 bundle 裡的 anon key GET conversations/memory_facts/memory_segments/memories → 42501；10/08 runbook 伺服器端檢查：anon 無授權、無 USING(true)、無管理員 policy 觸及記憶表，25/25 通過；authenticated 分戶隔離沿用本機實測</t>
        </is>
      </c>
      <c r="H145" s="13" t="n"/>
      <c r="I145" s="6" t="n"/>
    </row>
    <row r="146" ht="60" customHeight="1">
      <c r="A146" s="13" t="inlineStr">
        <is>
          <t>2026-10-12 10:42</t>
        </is>
      </c>
      <c r="B146" s="13" t="inlineStr">
        <is>
          <t>P0-03</t>
        </is>
      </c>
      <c r="C146" s="6" t="inlineStr">
        <is>
          <t>收緊 users 表的 RLS</t>
        </is>
      </c>
      <c r="D146" s="13" t="inlineStr">
        <is>
          <t>進行中</t>
        </is>
      </c>
      <c r="E146" s="13" t="inlineStr">
        <is>
          <t>已完成</t>
        </is>
      </c>
      <c r="F146" s="13" t="inlineStr">
        <is>
          <t>通過</t>
        </is>
      </c>
      <c r="G146" s="6" t="inlineStr">
        <is>
          <t>線上 2026-10-12（bac24e9）：anon GET users → 42501；anon PATCH users（不存在的 user_id）→ 42501 permission denied；runbook 伺服器端 anon 無授權、無 USING(true)；分戶讀改沿用本機實測</t>
        </is>
      </c>
      <c r="H146" s="13" t="n"/>
      <c r="I146" s="6" t="n"/>
    </row>
    <row r="147" ht="60" customHeight="1">
      <c r="A147" s="13" t="inlineStr">
        <is>
          <t>2026-10-12 10:42</t>
        </is>
      </c>
      <c r="B147" s="13" t="inlineStr">
        <is>
          <t>P0-04</t>
        </is>
      </c>
      <c r="C147" s="6" t="inlineStr">
        <is>
          <t>收緊 devices 表的 RLS</t>
        </is>
      </c>
      <c r="D147" s="13" t="inlineStr">
        <is>
          <t>進行中</t>
        </is>
      </c>
      <c r="E147" s="13" t="inlineStr">
        <is>
          <t>已完成</t>
        </is>
      </c>
      <c r="F147" s="13" t="inlineStr">
        <is>
          <t>通過</t>
        </is>
      </c>
      <c r="G147" s="6" t="inlineStr">
        <is>
          <t>線上 2026-10-12（bac24e9）：anon GET devices/device_secrets → 42501；anon PATCH devices（不存在的 user_id）→ 42501；認領／解綁網頁流程沿用本機實測</t>
        </is>
      </c>
      <c r="H147" s="13" t="n"/>
      <c r="I147" s="6" t="n"/>
    </row>
    <row r="148" ht="74" customHeight="1">
      <c r="A148" s="13" t="inlineStr">
        <is>
          <t>2026-10-12 10:42</t>
        </is>
      </c>
      <c r="B148" s="13" t="inlineStr">
        <is>
          <t>P0-05</t>
        </is>
      </c>
      <c r="C148" s="6" t="inlineStr">
        <is>
          <t>撤銷敏感表的多餘授權</t>
        </is>
      </c>
      <c r="D148" s="13" t="inlineStr">
        <is>
          <t>進行中</t>
        </is>
      </c>
      <c r="E148" s="13" t="inlineStr">
        <is>
          <t>已完成</t>
        </is>
      </c>
      <c r="F148" s="13" t="inlineStr">
        <is>
          <t>通過</t>
        </is>
      </c>
      <c r="G148" s="6" t="inlineStr">
        <is>
          <t>線上 2026-10-12（bac24e9）：anon 對 users/devices/conversations 等 10 張私人表 GET 全部 42501（授權層拒絕）；runbook psql：role_table_grants anon=0；authenticated 權限沿用本機 role_table_grants 實測</t>
        </is>
      </c>
      <c r="H148" s="13" t="n"/>
      <c r="I148" s="6" t="n"/>
    </row>
    <row r="149" ht="60" customHeight="1">
      <c r="A149" s="13" t="inlineStr">
        <is>
          <t>2026-10-12 10:42</t>
        </is>
      </c>
      <c r="B149" s="13" t="inlineStr">
        <is>
          <t>P0-06</t>
        </is>
      </c>
      <c r="C149" s="6" t="inlineStr">
        <is>
          <t>停止憑 MAC 發放永久用戶 JWT</t>
        </is>
      </c>
      <c r="D149" s="13" t="inlineStr">
        <is>
          <t>進行中</t>
        </is>
      </c>
      <c r="E149" s="13" t="inlineStr">
        <is>
          <t>已完成</t>
        </is>
      </c>
      <c r="F149" s="13" t="inlineStr">
        <is>
          <t>通過</t>
        </is>
      </c>
      <c r="G149" s="6" t="inlineStr">
        <is>
          <t>線上 2026-10-12（bac24e9）：POST /api/generate_auth_token 只帶 42:34 的 MAC → 401、帶錯誤密鑰 → 401、GET → 410；42:34 用 NVS 密鑰在線上換 token 並連上語音伺服器（P0-13 10/09 實測）</t>
        </is>
      </c>
      <c r="H149" s="13" t="n"/>
      <c r="I149" s="6" t="n"/>
    </row>
    <row r="150" ht="60" customHeight="1">
      <c r="A150" s="13" t="inlineStr">
        <is>
          <t>2026-10-12 10:42</t>
        </is>
      </c>
      <c r="B150" s="13" t="inlineStr">
        <is>
          <t>P0-08</t>
        </is>
      </c>
      <c r="C150" s="6" t="inlineStr">
        <is>
          <t>語音伺服器驗證設備身份（/ws/esp32）</t>
        </is>
      </c>
      <c r="D150" s="13" t="inlineStr">
        <is>
          <t>進行中</t>
        </is>
      </c>
      <c r="E150" s="13" t="inlineStr">
        <is>
          <t>已完成</t>
        </is>
      </c>
      <c r="F150" s="13" t="inlineStr">
        <is>
          <t>通過</t>
        </is>
      </c>
      <c r="G150" s="6" t="inlineStr">
        <is>
          <t>線上 2026-10-12（bac24e9）：wss /fastapi/ws/esp32 不帶 token、偽造 token＋X-Device-Mac → 均 4401 invalid device token；42:34 以有效 token 連線對話正常（P0-13 10/09）</t>
        </is>
      </c>
      <c r="H150" s="13" t="n"/>
      <c r="I150" s="6" t="n"/>
    </row>
    <row r="151" ht="46" customHeight="1">
      <c r="A151" s="13" t="inlineStr">
        <is>
          <t>2026-10-12 10:42</t>
        </is>
      </c>
      <c r="B151" s="13" t="inlineStr">
        <is>
          <t>P0-10</t>
        </is>
      </c>
      <c r="C151" s="6" t="inlineStr">
        <is>
          <t>生產環境關閉 /browser 測試頁與 /ws/browser</t>
        </is>
      </c>
      <c r="D151" s="13" t="inlineStr">
        <is>
          <t>進行中</t>
        </is>
      </c>
      <c r="E151" s="13" t="inlineStr">
        <is>
          <t>已完成</t>
        </is>
      </c>
      <c r="F151" s="13" t="inlineStr">
        <is>
          <t>通過</t>
        </is>
      </c>
      <c r="G151" s="6" t="inlineStr">
        <is>
          <t>線上 2026-10-12（bac24e9）：GET /fastapi/browser 404、/fastapi/ 404、/fastapi/healthz 200、wss /fastapi/ws/browser → HTTP 403</t>
        </is>
      </c>
      <c r="H151" s="13" t="n"/>
      <c r="I151" s="6" t="n"/>
    </row>
    <row r="152" ht="60" customHeight="1">
      <c r="A152" s="13" t="inlineStr">
        <is>
          <t>2026-10-12 10:42</t>
        </is>
      </c>
      <c r="B152" s="13" t="inlineStr">
        <is>
          <t>P0-17</t>
        </is>
      </c>
      <c r="C152" s="6" t="inlineStr">
        <is>
          <t>前端的 anon key 必須是公開 key，不可是 secret／service_role</t>
        </is>
      </c>
      <c r="D152" s="13" t="inlineStr">
        <is>
          <t>進行中</t>
        </is>
      </c>
      <c r="E152" s="13" t="inlineStr">
        <is>
          <t>已完成</t>
        </is>
      </c>
      <c r="F152" s="13" t="inlineStr">
        <is>
          <t>通過</t>
        </is>
      </c>
      <c r="G152" s="6" t="inlineStr">
        <is>
          <t>線上 2026-10-12（bac24e9）：/login 引用的 13 個 JS + HTML 無 sb_secret_，唯一 key 為 role=anon 的 JWT；② 用該 key GET /rest/v1/users → 42501；③ 本機 10/07 已換 publishable</t>
        </is>
      </c>
      <c r="H152" s="13" t="n"/>
      <c r="I152" s="6" t="n"/>
    </row>
    <row r="153" ht="60" customHeight="1">
      <c r="A153" s="13" t="inlineStr">
        <is>
          <t>2026-10-12 10:42</t>
        </is>
      </c>
      <c r="B153" s="13" t="inlineStr">
        <is>
          <t>P0-09</t>
        </is>
      </c>
      <c r="C153" s="6" t="inlineStr">
        <is>
          <t>瀏覽器語音路由改用簽名 token（/ws/nextjs）</t>
        </is>
      </c>
      <c r="D153" s="13" t="inlineStr">
        <is>
          <t>進行中</t>
        </is>
      </c>
      <c r="E153" s="13" t="inlineStr">
        <is>
          <t>進行中</t>
        </is>
      </c>
      <c r="F153" s="13" t="n"/>
      <c r="G153" s="6" t="inlineStr">
        <is>
          <t>線上 2026-10-12（bac24e9）：wss /fastapi/ws/nextjs?user_id=… 與 token=bogus → 均 4401 invalid voice token。未做：線上登入後網頁 playground 正常對話</t>
        </is>
      </c>
      <c r="H153" s="13" t="n"/>
      <c r="I153" s="6" t="n"/>
    </row>
    <row r="154" ht="60" customHeight="1">
      <c r="A154" s="13" t="inlineStr">
        <is>
          <t>2026-10-12 10:54</t>
        </is>
      </c>
      <c r="B154" s="13" t="inlineStr">
        <is>
          <t>P0-09</t>
        </is>
      </c>
      <c r="C154" s="6" t="inlineStr">
        <is>
          <t>瀏覽器語音路由改用簽名 token（/ws/nextjs）</t>
        </is>
      </c>
      <c r="D154" s="13" t="inlineStr">
        <is>
          <t>進行中</t>
        </is>
      </c>
      <c r="E154" s="13" t="inlineStr">
        <is>
          <t>已完成</t>
        </is>
      </c>
      <c r="F154" s="13" t="inlineStr">
        <is>
          <t>通過</t>
        </is>
      </c>
      <c r="G154" s="6" t="inlineStr">
        <is>
          <t>線上 2026-10-12（bac24e9）：wss /fastapi/ws/nextjs 只帶 user_id 或 token=bogus → 4401；用戶確認：登入 elatoai.hkqft.com 後網頁 playground 可正常對話</t>
        </is>
      </c>
      <c r="H154" s="13" t="n"/>
      <c r="I154" s="6" t="n"/>
    </row>
    <row r="155" ht="88" customHeight="1">
      <c r="A155" s="13" t="inlineStr">
        <is>
          <t>2026-10-12 11:01</t>
        </is>
      </c>
      <c r="B155" s="13" t="inlineStr">
        <is>
          <t>P0-16</t>
        </is>
      </c>
      <c r="C155" s="6" t="inlineStr">
        <is>
          <t>移除「醫生」身份與寫死的通關碼</t>
        </is>
      </c>
      <c r="D155" s="13" t="inlineStr">
        <is>
          <t>進行中</t>
        </is>
      </c>
      <c r="E155" s="13" t="inlineStr">
        <is>
          <t>已完成</t>
        </is>
      </c>
      <c r="F155" s="13" t="inlineStr">
        <is>
          <t>通過</t>
        </is>
      </c>
      <c r="G155" s="6" t="inlineStr">
        <is>
          <t>線上 2026-10-12：生產 commit bac24e9 git grep checkDoctorAction/kiwi-subtle-emu/=== "doctor"/isDoctor → 0；線上 13 個 JS（/、/login、/onboard）grep 通關碼/"doctor"/Santa/patient → 0；anon 讀角色只見 6 個 hk_ 角色、is_doctor 全 false；用戶今日線上登入及 playground 正常</t>
        </is>
      </c>
      <c r="H155" s="13" t="n"/>
      <c r="I155" s="6" t="n"/>
    </row>
    <row r="156" ht="102" customHeight="1">
      <c r="A156" s="13" t="inlineStr">
        <is>
          <t>2026-10-12 11:01</t>
        </is>
      </c>
      <c r="B156" s="13" t="inlineStr">
        <is>
          <t>P0-15</t>
        </is>
      </c>
      <c r="C156" s="6" t="inlineStr">
        <is>
          <t>角色表權限：只有內容管理員能發佈，關閉家長自建角色</t>
        </is>
      </c>
      <c r="D156" s="13" t="inlineStr">
        <is>
          <t>進行中</t>
        </is>
      </c>
      <c r="E156" s="13" t="inlineStr">
        <is>
          <t>進行中</t>
        </is>
      </c>
      <c r="F156" s="13" t="n"/>
      <c r="G156" s="6" t="inlineStr">
        <is>
          <t>線上 2026-10-12：② anon GET personalities → 只見 6 個已發佈 hk_ 內建，查 is_doctor/is_hidden/家長自建 → []；anon POST → 401。① 未直接用家長 JWT 測：靠 20261007140000 REVOKE INSERT/UPDATE/DELETE FROM authenticated，runbook 10/08 已套用。④ 生產 bac24e9 的 /home/create 為 redirect('/home')，未登入→/login；登入後未實測。③ 線上 /admin 未測</t>
        </is>
      </c>
      <c r="H156" s="13" t="n"/>
      <c r="I156" s="6" t="n"/>
    </row>
    <row r="157" ht="88" customHeight="1">
      <c r="A157" s="13" t="inlineStr">
        <is>
          <t>2026-10-12 14:01</t>
        </is>
      </c>
      <c r="B157" s="13" t="inlineStr">
        <is>
          <t>P0-15</t>
        </is>
      </c>
      <c r="C157" s="6" t="inlineStr">
        <is>
          <t>角色表權限：只有內容管理員能發佈，關閉家長自建角色</t>
        </is>
      </c>
      <c r="D157" s="13" t="inlineStr">
        <is>
          <t>進行中</t>
        </is>
      </c>
      <c r="E157" s="13" t="inlineStr">
        <is>
          <t>已完成</t>
        </is>
      </c>
      <c r="F157" s="13" t="inlineStr">
        <is>
          <t>通過</t>
        </is>
      </c>
      <c r="G157" s="6" t="inlineStr">
        <is>
          <t>線上 2026-10-12：② anon 只見 6 個已發佈 hk_ 內建，查隱藏/醫生/家長自建 → []，anon POST → 401；① authenticated 寫入權限由 20261007140000 REVOKE（runbook 10/08 已套用）；用戶確認：④ 家長登入後 /home/create 轉回 /home ③ 管理員在 /admin 修改角色保存成功</t>
        </is>
      </c>
      <c r="H157" s="13" t="n"/>
      <c r="I157" s="6" t="n"/>
    </row>
    <row r="158" ht="88" customHeight="1">
      <c r="A158" s="13" t="inlineStr">
        <is>
          <t>2026-10-12 14:31</t>
        </is>
      </c>
      <c r="B158" s="13" t="inlineStr">
        <is>
          <t>P0-12</t>
        </is>
      </c>
      <c r="C158" s="6" t="inlineStr">
        <is>
          <t>收緊 Admin 權限與路由保護</t>
        </is>
      </c>
      <c r="D158" s="13" t="inlineStr">
        <is>
          <t>進行中</t>
        </is>
      </c>
      <c r="E158" s="13" t="inlineStr">
        <is>
          <t>已完成</t>
        </is>
      </c>
      <c r="F158" s="13" t="inlineStr">
        <is>
          <t>通過</t>
        </is>
      </c>
      <c r="G158" s="6" t="inlineStr">
        <is>
          <t>線上 2026-10-12（bac24e9）：runbook 10/08 檢查 未登入 /admin→/login、/api/admin→401、has_role() 只看角色、無管理員 policy 觸及 conversations/記憶表、超管≥1；未登入 /home、/admin→/login；用戶確認：家長帳號開 /admin 轉回 /home、管理員在 /admin 修改角色保存成功；角色細分權限沿用本機 61/61</t>
        </is>
      </c>
      <c r="H158" s="13" t="n"/>
      <c r="I158" s="6" t="n"/>
    </row>
    <row r="159" ht="102" customHeight="1">
      <c r="A159" s="13" t="inlineStr">
        <is>
          <t>2026-10-12 14:40</t>
        </is>
      </c>
      <c r="B159" s="13" t="inlineStr">
        <is>
          <t>R-07</t>
        </is>
      </c>
      <c r="C159" s="6" t="inlineStr">
        <is>
          <t>20 個家庭封閉內測</t>
        </is>
      </c>
      <c r="D159" s="13" t="inlineStr">
        <is>
          <t>未開始</t>
        </is>
      </c>
      <c r="E159" s="13" t="inlineStr">
        <is>
          <t>未開始</t>
        </is>
      </c>
      <c r="F159" s="13" t="n"/>
      <c r="G159" s="6" t="n"/>
      <c r="H159" s="13" t="n"/>
      <c r="I159" s="6" t="inlineStr">
        <is>
          <t>2026-10-12 用戶決定 11 月的 20 個家庭內測改為內部測試（標題保留原文）。不再需要外部家庭的內測同意書；代價是上市前沒有真實家庭的留存和兒童語音數據，R-04 用同事孩子的錄音補上，1/29 交付後兩週每天看數據。；修改了驗收標準、測試方法</t>
        </is>
      </c>
    </row>
    <row r="160" ht="88" customHeight="1">
      <c r="A160" s="13" t="inlineStr">
        <is>
          <t>2026-10-12 14:40</t>
        </is>
      </c>
      <c r="B160" s="13" t="inlineStr">
        <is>
          <t>R-08</t>
        </is>
      </c>
      <c r="C160" s="6" t="inlineStr">
        <is>
          <t>第 8 週關卡決策</t>
        </is>
      </c>
      <c r="D160" s="13" t="inlineStr">
        <is>
          <t>未開始</t>
        </is>
      </c>
      <c r="E160" s="13" t="inlineStr">
        <is>
          <t>未開始</t>
        </is>
      </c>
      <c r="F160" s="13" t="n"/>
      <c r="G160" s="6" t="n"/>
      <c r="H160" s="13" t="n"/>
      <c r="I160" s="6" t="inlineStr">
        <is>
          <t>2026-10-12 用戶確認三個品牌與數量：A 香港賽馬會（快活）2,500 隻、B 政協青年聯會版 500 隻、C 自家 AI Buddy（自有 IP）未定。量產板最遲 11/6 按 3,000 台加備品落單，早於 CP2。；修改了驗收標準</t>
        </is>
      </c>
    </row>
    <row r="161" ht="60" customHeight="1">
      <c r="A161" s="13" t="inlineStr">
        <is>
          <t>2026-10-12 14:40</t>
        </is>
      </c>
      <c r="B161" s="13" t="inlineStr">
        <is>
          <t>R-05</t>
        </is>
      </c>
      <c r="C161" s="6" t="inlineStr">
        <is>
          <t>內測版外殼（3D 打印 20 台）</t>
        </is>
      </c>
      <c r="D161" s="13" t="inlineStr">
        <is>
          <t>未開始</t>
        </is>
      </c>
      <c r="E161" s="13" t="inlineStr">
        <is>
          <t>未開始</t>
        </is>
      </c>
      <c r="F161" s="13" t="n"/>
      <c r="G161" s="6" t="n"/>
      <c r="H161" s="13" t="n"/>
      <c r="I161" s="6" t="inlineStr">
        <is>
          <t>2026-10-12：外殼改為玩具廠做毛公仔＋內置機芯盒；內部測試用工廠第二版樣品（W4 約 20 隻）代替 3D 打印外殼。</t>
        </is>
      </c>
    </row>
    <row r="162" ht="74" customHeight="1">
      <c r="A162" s="13" t="inlineStr">
        <is>
          <t>2026-10-12 14:40</t>
        </is>
      </c>
      <c r="B162" s="13" t="inlineStr">
        <is>
          <t>R-09</t>
        </is>
      </c>
      <c r="C162" s="6" t="inlineStr">
        <is>
          <t>量產外殼（真空複模）</t>
        </is>
      </c>
      <c r="D162" s="13" t="inlineStr">
        <is>
          <t>未開始</t>
        </is>
      </c>
      <c r="E162" s="13" t="inlineStr">
        <is>
          <t>未開始</t>
        </is>
      </c>
      <c r="F162" s="13" t="n"/>
      <c r="G162" s="6" t="n"/>
      <c r="H162" s="13" t="n"/>
      <c r="I162" s="6" t="inlineStr">
        <is>
          <t>2026-10-12：量產外殼改為玩具廠的毛公仔＋機芯盒（鋁模），不是真空複模。PP 樣 11/27、試產 12/7、大貨 12/14–12/31，見 docs/毛公仔打版與量產時間表_草案v0.2.xlsx。</t>
        </is>
      </c>
    </row>
    <row r="163" ht="46" customHeight="1">
      <c r="A163" s="13" t="inlineStr">
        <is>
          <t>2026-10-12 14:40</t>
        </is>
      </c>
      <c r="B163" s="13" t="inlineStr">
        <is>
          <t>R-15</t>
        </is>
      </c>
      <c r="C163" s="6" t="inlineStr">
        <is>
          <t>農曆新年前交付（生產 1/15、送達 1/29）</t>
        </is>
      </c>
      <c r="D163" s="13" t="inlineStr">
        <is>
          <t>未開始</t>
        </is>
      </c>
      <c r="E163" s="13" t="inlineStr">
        <is>
          <t>未開始</t>
        </is>
      </c>
      <c r="F163" s="13" t="n"/>
      <c r="G163" s="6" t="n"/>
      <c r="H163" s="13" t="n"/>
      <c r="I163" s="6" t="inlineStr">
        <is>
          <t>2026-10-12：首批 A 馬會 2,500＋B 政協青年聯會版 500＝3,000 隻，C 未定。</t>
        </is>
      </c>
    </row>
    <row r="164" ht="46" customHeight="1">
      <c r="A164" s="13" t="inlineStr">
        <is>
          <t>2026-10-12 14:48</t>
        </is>
      </c>
      <c r="B164" s="13" t="inlineStr">
        <is>
          <t>Q10</t>
        </is>
      </c>
      <c r="C164" s="6" t="inlineStr">
        <is>
          <t>燒錄和出廠自檢在哪裡做：板子供應商出貨前預燒、玩具廠設工位，還是我們自己做？</t>
        </is>
      </c>
      <c r="E164" s="13" t="inlineStr">
        <is>
          <t>待回覆</t>
        </is>
      </c>
      <c r="I164" s="6" t="inlineStr">
        <is>
          <t>新增待確認問題</t>
        </is>
      </c>
    </row>
    <row r="165" ht="32" customHeight="1">
      <c r="A165" s="13" t="inlineStr">
        <is>
          <t>2026-10-12 14:48</t>
        </is>
      </c>
      <c r="B165" s="13" t="inlineStr">
        <is>
          <t>Q11</t>
        </is>
      </c>
      <c r="C165" s="6" t="inlineStr">
        <is>
          <t>馬會快活的賽馬日版和新春版各多少隻（共 2,500）？</t>
        </is>
      </c>
      <c r="E165" s="13" t="inlineStr">
        <is>
          <t>待回覆</t>
        </is>
      </c>
      <c r="I165" s="6" t="inlineStr">
        <is>
          <t>新增待確認問題</t>
        </is>
      </c>
    </row>
    <row r="166" ht="74" customHeight="1">
      <c r="A166" s="13" t="inlineStr">
        <is>
          <t>2026-10-12 14:48</t>
        </is>
      </c>
      <c r="B166" s="13" t="inlineStr">
        <is>
          <t>R-10</t>
        </is>
      </c>
      <c r="C166" s="6" t="inlineStr">
        <is>
          <t>出廠流程</t>
        </is>
      </c>
      <c r="D166" s="13" t="inlineStr">
        <is>
          <t>未開始</t>
        </is>
      </c>
      <c r="E166" s="13" t="inlineStr">
        <is>
          <t>未開始</t>
        </is>
      </c>
      <c r="F166" s="13" t="n"/>
      <c r="G166" s="6" t="n"/>
      <c r="H166" s="13" t="n"/>
      <c r="I166" s="6" t="inlineStr">
        <is>
          <t>2026-10-12：燒錄地點未定（Q10），最遲 11/6。設備密鑰、品牌和款式都在出廠時寫入（三個品牌共用一個韌體）。；修改了依賴→P0-06, P0-14, R-01, P2-12, Q10</t>
        </is>
      </c>
    </row>
    <row r="167" ht="32" customHeight="1">
      <c r="A167" s="13" t="inlineStr">
        <is>
          <t>2026-10-12 14:48</t>
        </is>
      </c>
      <c r="B167" s="13" t="inlineStr">
        <is>
          <t>R-09</t>
        </is>
      </c>
      <c r="C167" s="6" t="inlineStr">
        <is>
          <t>量產外殼（真空複模）</t>
        </is>
      </c>
      <c r="D167" s="13" t="inlineStr">
        <is>
          <t>未開始</t>
        </is>
      </c>
      <c r="E167" s="13" t="inlineStr">
        <is>
          <t>未開始</t>
        </is>
      </c>
      <c r="F167" s="13" t="n"/>
      <c r="G167" s="6" t="n"/>
      <c r="H167" s="13" t="n"/>
      <c r="I167" s="6" t="inlineStr">
        <is>
          <t>修改了依賴→R-08, R-05, Q11</t>
        </is>
      </c>
    </row>
    <row r="168" ht="88" customHeight="1">
      <c r="A168" s="13" t="inlineStr">
        <is>
          <t>2026-10-12 14:48</t>
        </is>
      </c>
      <c r="B168" s="13" t="inlineStr">
        <is>
          <t>R-08</t>
        </is>
      </c>
      <c r="C168" s="6" t="inlineStr">
        <is>
          <t>第 8 週關卡決策</t>
        </is>
      </c>
      <c r="D168" s="13" t="inlineStr">
        <is>
          <t>未開始</t>
        </is>
      </c>
      <c r="E168" s="13" t="inlineStr">
        <is>
          <t>未開始</t>
        </is>
      </c>
      <c r="F168" s="13" t="n"/>
      <c r="G168" s="6" t="n"/>
      <c r="H168" s="13" t="n"/>
      <c r="I168" s="6" t="inlineStr">
        <is>
          <t>2026-10-12：品牌 B 政協青年聯會版的用戶是成人會員；品牌 C 即現有的 AI Buddy 兒童陪伴版（3–6 歲）。A、B 都是成人，兒童專屬項（P1-09 家長鎖、P1-04 的家長同意部分、R-12 每日上限）只在 C 出貨時才卡出貨。</t>
        </is>
      </c>
    </row>
    <row r="169" ht="88" customHeight="1">
      <c r="A169" s="13" t="inlineStr">
        <is>
          <t>2026-10-12 14:58</t>
        </is>
      </c>
      <c r="B169" s="13" t="inlineStr">
        <is>
          <t>Q10</t>
        </is>
      </c>
      <c r="C169" s="6" t="inlineStr">
        <is>
          <t>燒錄和出廠自檢在哪裡做：板子供應商出貨前預燒、玩具廠設工位，還是我們自己做？</t>
        </is>
      </c>
      <c r="D169" s="13" t="inlineStr">
        <is>
          <t>待回覆</t>
        </is>
      </c>
      <c r="E169" s="13" t="inlineStr">
        <is>
          <t>已回覆</t>
        </is>
      </c>
      <c r="I169" s="6" t="inlineStr">
        <is>
          <t>2026-10-12 用戶決定：燒共用韌體。Spotpear 出貨前代燒所有品牌共用、不含密鑰的出廠韌體，附每片 MAC 清單；每台的設備密鑰、品牌和款式、自檢、登記在玩具廠裝機芯盒工位，用我方電腦和腳本經序列埠完成。</t>
        </is>
      </c>
    </row>
    <row r="170" ht="102" customHeight="1">
      <c r="A170" s="13" t="inlineStr">
        <is>
          <t>2026-10-12 14:58</t>
        </is>
      </c>
      <c r="B170" s="13" t="inlineStr">
        <is>
          <t>R-10</t>
        </is>
      </c>
      <c r="C170" s="6" t="inlineStr">
        <is>
          <t>出廠流程</t>
        </is>
      </c>
      <c r="D170" s="13" t="inlineStr">
        <is>
          <t>未開始</t>
        </is>
      </c>
      <c r="E170" s="13" t="inlineStr">
        <is>
          <t>未開始</t>
        </is>
      </c>
      <c r="F170" s="13" t="n"/>
      <c r="G170" s="6" t="n"/>
      <c r="H170" s="13" t="n"/>
      <c r="I170" s="6" t="inlineStr">
        <is>
          <t>2026-10-12 Q10 已定（燒共用韌體）。Spotpear 出貨測試第一次通電就會開 Secure Boot 和 Flash 加密，所以 11/27 交 Spotpear 的映像必須是最終版（P0-14 要在 W5 前驗證）；app 之後經 OTA 更新。；修改了驗收標準、測試方法</t>
        </is>
      </c>
    </row>
    <row r="171" ht="158" customHeight="1">
      <c r="A171" s="13" t="inlineStr">
        <is>
          <t>2026-10-12 15:23</t>
        </is>
      </c>
      <c r="B171" s="13" t="inlineStr">
        <is>
          <t>P0-11</t>
        </is>
      </c>
      <c r="C171" s="6" t="inlineStr">
        <is>
          <t>設備認領要求持有證明</t>
        </is>
      </c>
      <c r="D171" s="13" t="inlineStr">
        <is>
          <t>未開始</t>
        </is>
      </c>
      <c r="E171" s="13" t="inlineStr">
        <is>
          <t>未開始</t>
        </is>
      </c>
      <c r="F171" s="13" t="n"/>
      <c r="G171" s="6" t="n"/>
      <c r="H171" s="13" t="n"/>
      <c r="I171" s="6" t="inlineStr">
        <is>
          <t>2026-10-12 用戶確認綁定設計：Spotpear 沒有螢幕、也不讀出配對碼（韌體只印在序列埠），所以改為配網時綁定；已有主人的設備要原主先解綁，否則找客服；第一版一台設備只屬一個帳號。現況漏洞仍在：設定頁列出全球未認領設備可直接認領（AppSettings.tsx、getUnclaimedDevices）；addUserToDevice 沒有檢查 user_id IS NULL，也不寫 claimed_at。；修改了驗收標準、測試方法</t>
        </is>
      </c>
    </row>
    <row r="172" ht="60" customHeight="1">
      <c r="A172" s="13" t="inlineStr">
        <is>
          <t>2026-10-12 15:23</t>
        </is>
      </c>
      <c r="B172" s="13" t="inlineStr">
        <is>
          <t>Q12</t>
        </is>
      </c>
      <c r="C172" s="6" t="inlineStr">
        <is>
          <t>快活 App 的「會員綁定」是指甚麼：用我們自己的帳號（email 驗證碼），還是接馬會的會員帳號登入（SSO）？</t>
        </is>
      </c>
      <c r="E172" s="13" t="inlineStr">
        <is>
          <t>待回覆</t>
        </is>
      </c>
      <c r="I172" s="6" t="inlineStr">
        <is>
          <t>新增待確認問題</t>
        </is>
      </c>
    </row>
    <row r="173" ht="172" customHeight="1">
      <c r="A173" s="13" t="inlineStr">
        <is>
          <t>2026-10-12 15:38</t>
        </is>
      </c>
      <c r="B173" s="13" t="inlineStr">
        <is>
          <t>P1-12</t>
        </is>
      </c>
      <c r="C173" s="6" t="inlineStr">
        <is>
          <t>設備解綁時的記憶處理：確認、預設保留、可選清除</t>
        </is>
      </c>
      <c r="D173" s="13" t="inlineStr">
        <is>
          <t>進行中</t>
        </is>
      </c>
      <c r="E173" s="13" t="inlineStr">
        <is>
          <t>進行中</t>
        </is>
      </c>
      <c r="F173" s="13" t="inlineStr">
        <is>
          <t>部分通過</t>
        </is>
      </c>
      <c r="G173" s="6" t="inlineStr">
        <is>
          <t>本機（開發板 DEV636 身份的模擬裝置 + 網頁）：TC1/2/5/6/7/8/10/11/13 通過；TC3 重綁後 log『Loaded 2 fact(s)』；TC4 第二台 starts cold、設定頁可切換；TC9 DB 層 B 解綁回 NULL、清除報錯，anon/authenticated 無 EXECUTE；TC10 舊代數寫入三表皆 HTTP 400、清除後 40 秒仍 0 行；TC12 伺服器端 4401 通過；pytest 214 passed。TC14（2026-10-12，rebase 到 main 後的 p1-12-rebased 8d4b9e2，本機 7861）：/ws/nextjs 以網頁 token 對話兩輪，波波熊有回應 → turn_metrics 0→3，memory_facts／memory_segments／conversations 皆 0→0；log 只有 NextJS websocket connected。未做：TC12 真機 202/配對、TC3 真機問答。</t>
        </is>
      </c>
      <c r="H173" s="13" t="inlineStr">
        <is>
          <t>8d4b9e2</t>
        </is>
      </c>
      <c r="I173" s="6" t="inlineStr">
        <is>
          <t>2026-10-12：p1-12-unbind-memory rebase 到 main（0eaa1bf，含多設備與註冊），新分支 p1-12-rebased，worktree ~/project/aibuddy-p112；pytest 214 passed、tsc 通過。TC14 的測試方法改成看 turn_metrics 與三張表，因為 /ws/nextjs 直接傳 memory=None，不會印 running without memory。；修改了測試方法</t>
        </is>
      </c>
    </row>
    <row r="174" ht="32" customHeight="1">
      <c r="A174" s="13" t="inlineStr">
        <is>
          <t>2026-10-12 15:51</t>
        </is>
      </c>
      <c r="B174" s="13" t="inlineStr">
        <is>
          <t>R-21</t>
        </is>
      </c>
      <c r="C174" s="6" t="inlineStr">
        <is>
          <t>藍牙配網與綁定（取代熱點配網）</t>
        </is>
      </c>
      <c r="E174" s="13" t="inlineStr">
        <is>
          <t>未開始</t>
        </is>
      </c>
      <c r="I174" s="6" t="inlineStr">
        <is>
          <t>新增任務</t>
        </is>
      </c>
    </row>
    <row r="175" ht="88" customHeight="1">
      <c r="A175" s="13" t="inlineStr">
        <is>
          <t>2026-10-12 15:51</t>
        </is>
      </c>
      <c r="B175" s="13" t="inlineStr">
        <is>
          <t>P0-11</t>
        </is>
      </c>
      <c r="C175" s="6" t="inlineStr">
        <is>
          <t>設備認領要求持有證明</t>
        </is>
      </c>
      <c r="D175" s="13" t="inlineStr">
        <is>
          <t>未開始</t>
        </is>
      </c>
      <c r="E175" s="13" t="inlineStr">
        <is>
          <t>未開始</t>
        </is>
      </c>
      <c r="F175" s="13" t="n"/>
      <c r="G175" s="6" t="n"/>
      <c r="H175" s="13" t="n"/>
      <c r="I175" s="6" t="inlineStr">
        <is>
          <t>2026-10-12 再改：用戶決定用藍牙配網（R-21），不用熱點綁定碼。改為「App 取綁定票，經藍牙交給設備，設備自己認領」，本項只管伺服器端，不用等藍牙就能先做和測試。；修改了驗收標準、測試方法</t>
        </is>
      </c>
    </row>
    <row r="176" ht="74" customHeight="1">
      <c r="A176" s="13" t="inlineStr">
        <is>
          <t>2026-10-12 15:51</t>
        </is>
      </c>
      <c r="B176" s="13" t="inlineStr">
        <is>
          <t>R-18</t>
        </is>
      </c>
      <c r="C176" s="6" t="inlineStr">
        <is>
          <t>長按 BOOT 重新配網（開 AIBuddy-XXXX 熱點）</t>
        </is>
      </c>
      <c r="D176" s="13" t="inlineStr">
        <is>
          <t>未開始</t>
        </is>
      </c>
      <c r="E176" s="13" t="inlineStr">
        <is>
          <t>未開始</t>
        </is>
      </c>
      <c r="F176" s="13" t="n"/>
      <c r="G176" s="6" t="n"/>
      <c r="H176" s="13" t="n"/>
      <c r="I176" s="6" t="inlineStr">
        <is>
          <t>2026-10-12：配網改用藍牙（R-21），長按 BOOT 改為開啟藍牙配網，不再開 AIBuddy-XXXX 熱點；熱點只保留給開發和運維。驗收標準待 R-21 的韌體方案定了再改。</t>
        </is>
      </c>
    </row>
    <row r="177" ht="60" customHeight="1">
      <c r="A177" s="13" t="inlineStr">
        <is>
          <t>2026-10-12 15:51</t>
        </is>
      </c>
      <c r="B177" s="13" t="inlineStr">
        <is>
          <t>P2-12</t>
        </is>
      </c>
      <c r="C177" s="6" t="inlineStr">
        <is>
          <t>量產燒錄前加大 app 分區</t>
        </is>
      </c>
      <c r="D177" s="13" t="inlineStr">
        <is>
          <t>未開始</t>
        </is>
      </c>
      <c r="E177" s="13" t="inlineStr">
        <is>
          <t>未開始</t>
        </is>
      </c>
      <c r="F177" s="13" t="n"/>
      <c r="G177" s="6" t="n"/>
      <c r="H177" s="13" t="n"/>
      <c r="I177" s="6" t="inlineStr">
        <is>
          <t>2026-10-12：藍牙配網（R-21）會令韌體大約多 300KB，2MB 分區不夠。新分區表要按 app 各 4MB 定，並在 11/13 凍結前把藍牙版本編譯一次確認大小。</t>
        </is>
      </c>
    </row>
    <row r="178" ht="32" customHeight="1">
      <c r="A178" s="13" t="inlineStr">
        <is>
          <t>2026-10-12 16:01</t>
        </is>
      </c>
      <c r="B178" s="13" t="inlineStr">
        <is>
          <t>Q13</t>
        </is>
      </c>
      <c r="C178" s="6" t="inlineStr">
        <is>
          <t>政協青年聯會版的角色、語言和內容由誰提供？什麼時候交？</t>
        </is>
      </c>
      <c r="E178" s="13" t="inlineStr">
        <is>
          <t>待回覆</t>
        </is>
      </c>
      <c r="I178" s="6" t="inlineStr">
        <is>
          <t>新增待確認問題</t>
        </is>
      </c>
    </row>
    <row r="179" ht="32" customHeight="1">
      <c r="A179" s="13" t="inlineStr">
        <is>
          <t>2026-10-12 16:03</t>
        </is>
      </c>
      <c r="B179" s="13" t="inlineStr">
        <is>
          <t>R-22</t>
        </is>
      </c>
      <c r="C179" s="6" t="inlineStr">
        <is>
          <t>多品牌資料模型：brands 表與設備的品牌</t>
        </is>
      </c>
      <c r="E179" s="13" t="inlineStr">
        <is>
          <t>未開始</t>
        </is>
      </c>
      <c r="I179" s="6" t="inlineStr">
        <is>
          <t>新增任務</t>
        </is>
      </c>
    </row>
    <row r="180" ht="32" customHeight="1">
      <c r="A180" s="13" t="inlineStr">
        <is>
          <t>2026-10-12 16:03</t>
        </is>
      </c>
      <c r="B180" s="13" t="inlineStr">
        <is>
          <t>R-23</t>
        </is>
      </c>
      <c r="C180" s="6" t="inlineStr">
        <is>
          <t>認領和顯示按品牌分開</t>
        </is>
      </c>
      <c r="E180" s="13" t="inlineStr">
        <is>
          <t>未開始</t>
        </is>
      </c>
      <c r="I180" s="6" t="inlineStr">
        <is>
          <t>新增任務</t>
        </is>
      </c>
    </row>
    <row r="181" ht="32" customHeight="1">
      <c r="A181" s="13" t="inlineStr">
        <is>
          <t>2026-10-12 16:03</t>
        </is>
      </c>
      <c r="B181" s="13" t="inlineStr">
        <is>
          <t>R-24</t>
        </is>
      </c>
      <c r="C181" s="6" t="inlineStr">
        <is>
          <t>設備只能用自己品牌的角色</t>
        </is>
      </c>
      <c r="E181" s="13" t="inlineStr">
        <is>
          <t>未開始</t>
        </is>
      </c>
      <c r="I181" s="6" t="inlineStr">
        <is>
          <t>新增任務</t>
        </is>
      </c>
    </row>
    <row r="182" ht="32" customHeight="1">
      <c r="A182" s="13" t="inlineStr">
        <is>
          <t>2026-10-12 16:03</t>
        </is>
      </c>
      <c r="B182" s="13" t="inlineStr">
        <is>
          <t>R-25</t>
        </is>
      </c>
      <c r="C182" s="6" t="inlineStr">
        <is>
          <t>網頁的品牌主題系統</t>
        </is>
      </c>
      <c r="E182" s="13" t="inlineStr">
        <is>
          <t>未開始</t>
        </is>
      </c>
      <c r="I182" s="6" t="inlineStr">
        <is>
          <t>新增任務</t>
        </is>
      </c>
    </row>
    <row r="183" ht="32" customHeight="1">
      <c r="A183" s="13" t="inlineStr">
        <is>
          <t>2026-10-12 16:03</t>
        </is>
      </c>
      <c r="B183" s="13" t="inlineStr">
        <is>
          <t>R-26</t>
        </is>
      </c>
      <c r="C183" s="6" t="inlineStr">
        <is>
          <t>原生殼與網頁的橋接清單</t>
        </is>
      </c>
      <c r="E183" s="13" t="inlineStr">
        <is>
          <t>未開始</t>
        </is>
      </c>
      <c r="I183" s="6" t="inlineStr">
        <is>
          <t>新增任務</t>
        </is>
      </c>
    </row>
    <row r="184" ht="32" customHeight="1">
      <c r="A184" s="13" t="inlineStr">
        <is>
          <t>2026-10-12 16:03</t>
        </is>
      </c>
      <c r="B184" s="13" t="inlineStr">
        <is>
          <t>R-27</t>
        </is>
      </c>
      <c r="C184" s="6" t="inlineStr">
        <is>
          <t>App 內登入：驗證碼、原生社交登入、刪除帳號</t>
        </is>
      </c>
      <c r="E184" s="13" t="inlineStr">
        <is>
          <t>未開始</t>
        </is>
      </c>
      <c r="I184" s="6" t="inlineStr">
        <is>
          <t>新增任務</t>
        </is>
      </c>
    </row>
    <row r="185" ht="32" customHeight="1">
      <c r="A185" s="13" t="inlineStr">
        <is>
          <t>2026-10-12 16:03</t>
        </is>
      </c>
      <c r="B185" s="13" t="inlineStr">
        <is>
          <t>R-28</t>
        </is>
      </c>
      <c r="C185" s="6" t="inlineStr">
        <is>
          <t>三個 App 的殼：品牌版本與測試版</t>
        </is>
      </c>
      <c r="E185" s="13" t="inlineStr">
        <is>
          <t>未開始</t>
        </is>
      </c>
      <c r="I185" s="6" t="inlineStr">
        <is>
          <t>新增任務</t>
        </is>
      </c>
    </row>
    <row r="186" ht="32" customHeight="1">
      <c r="A186" s="13" t="inlineStr">
        <is>
          <t>2026-10-12 16:03</t>
        </is>
      </c>
      <c r="B186" s="13" t="inlineStr">
        <is>
          <t>R-29</t>
        </is>
      </c>
      <c r="C186" s="6" t="inlineStr">
        <is>
          <t>AI Buddy App（品牌 C）頁面</t>
        </is>
      </c>
      <c r="E186" s="13" t="inlineStr">
        <is>
          <t>未開始</t>
        </is>
      </c>
      <c r="I186" s="6" t="inlineStr">
        <is>
          <t>新增任務</t>
        </is>
      </c>
    </row>
    <row r="187" ht="32" customHeight="1">
      <c r="A187" s="13" t="inlineStr">
        <is>
          <t>2026-10-12 16:03</t>
        </is>
      </c>
      <c r="B187" s="13" t="inlineStr">
        <is>
          <t>R-30</t>
        </is>
      </c>
      <c r="C187" s="6" t="inlineStr">
        <is>
          <t>快活 App（品牌 A）頁面</t>
        </is>
      </c>
      <c r="E187" s="13" t="inlineStr">
        <is>
          <t>未開始</t>
        </is>
      </c>
      <c r="I187" s="6" t="inlineStr">
        <is>
          <t>新增任務</t>
        </is>
      </c>
    </row>
    <row r="188" ht="32" customHeight="1">
      <c r="A188" s="13" t="inlineStr">
        <is>
          <t>2026-10-12 16:03</t>
        </is>
      </c>
      <c r="B188" s="13" t="inlineStr">
        <is>
          <t>R-31</t>
        </is>
      </c>
      <c r="C188" s="6" t="inlineStr">
        <is>
          <t>政協青年聯會版 App（品牌 B）頁面</t>
        </is>
      </c>
      <c r="E188" s="13" t="inlineStr">
        <is>
          <t>未開始</t>
        </is>
      </c>
      <c r="I188" s="6" t="inlineStr">
        <is>
          <t>新增任務</t>
        </is>
      </c>
    </row>
    <row r="189" ht="32" customHeight="1">
      <c r="A189" s="13" t="inlineStr">
        <is>
          <t>2026-10-12 16:03</t>
        </is>
      </c>
      <c r="B189" s="13" t="inlineStr">
        <is>
          <t>R-32</t>
        </is>
      </c>
      <c r="C189" s="6" t="inlineStr">
        <is>
          <t>開發者帳號：馬會、政協青年聯會、AI Buddy</t>
        </is>
      </c>
      <c r="E189" s="13" t="inlineStr">
        <is>
          <t>未開始</t>
        </is>
      </c>
      <c r="I189" s="6" t="inlineStr">
        <is>
          <t>新增任務</t>
        </is>
      </c>
    </row>
    <row r="190" ht="32" customHeight="1">
      <c r="A190" s="13" t="inlineStr">
        <is>
          <t>2026-10-12 16:03</t>
        </is>
      </c>
      <c r="B190" s="13" t="inlineStr">
        <is>
          <t>R-33</t>
        </is>
      </c>
      <c r="C190" s="6" t="inlineStr">
        <is>
          <t>三個 App 送審並通過</t>
        </is>
      </c>
      <c r="E190" s="13" t="inlineStr">
        <is>
          <t>未開始</t>
        </is>
      </c>
      <c r="I190" s="6" t="inlineStr">
        <is>
          <t>新增任務</t>
        </is>
      </c>
    </row>
    <row r="191" ht="32" customHeight="1">
      <c r="A191" s="13" t="inlineStr">
        <is>
          <t>2026-10-12 16:03</t>
        </is>
      </c>
      <c r="B191" s="13" t="inlineStr">
        <is>
          <t>R-10</t>
        </is>
      </c>
      <c r="C191" s="6" t="inlineStr">
        <is>
          <t>出廠流程</t>
        </is>
      </c>
      <c r="D191" s="13" t="inlineStr">
        <is>
          <t>未開始</t>
        </is>
      </c>
      <c r="E191" s="13" t="inlineStr">
        <is>
          <t>未開始</t>
        </is>
      </c>
      <c r="F191" s="13" t="n"/>
      <c r="G191" s="6" t="n"/>
      <c r="H191" s="13" t="n"/>
      <c r="I191" s="6" t="inlineStr">
        <is>
          <t>修改了依賴→P0-06, P0-14, R-01, P2-12, Q10, R-22</t>
        </is>
      </c>
    </row>
    <row r="192" ht="130" customHeight="1">
      <c r="A192" s="13" t="inlineStr">
        <is>
          <t>2026-10-12 16:04</t>
        </is>
      </c>
      <c r="B192" s="13" t="inlineStr">
        <is>
          <t>R-21</t>
        </is>
      </c>
      <c r="C192" s="6" t="inlineStr">
        <is>
          <t>藍牙配網與綁定（取代熱點配網）</t>
        </is>
      </c>
      <c r="D192" s="13" t="inlineStr">
        <is>
          <t>未開始</t>
        </is>
      </c>
      <c r="E192" s="13" t="inlineStr">
        <is>
          <t>未開始</t>
        </is>
      </c>
      <c r="F192" s="13" t="n"/>
      <c r="G192" s="6" t="n"/>
      <c r="H192" s="13" t="n"/>
      <c r="I192" s="6" t="inlineStr">
        <is>
          <t>2026-10-12（路線圖）：用戶第一次設定時設備還沒有 Wi-Fi，藍牙配網不能經 OTA 補上，所以必須包含在 11/27 交 Spotpear 量產燒錄的共用出廠韌體裡；藍牙佔用的分區大小要在 11/13 分區表凍結（P2-12）前確定。趕不上的話，量產機只能用 SoftAP 熱點配網，或在玩具廠工位經工廠 Wi-Fi 做一次 OTA。</t>
        </is>
      </c>
    </row>
    <row r="193" ht="340" customHeight="1">
      <c r="A193" s="13" t="inlineStr">
        <is>
          <t>2026-10-12 16:13</t>
        </is>
      </c>
      <c r="B193" s="13" t="inlineStr">
        <is>
          <t>P1-12</t>
        </is>
      </c>
      <c r="C193" s="6" t="inlineStr">
        <is>
          <t>設備解綁時的記憶處理：確認、預設保留、可選清除</t>
        </is>
      </c>
      <c r="D193" s="13" t="inlineStr">
        <is>
          <t>進行中</t>
        </is>
      </c>
      <c r="E193" s="13" t="inlineStr">
        <is>
          <t>進行中</t>
        </is>
      </c>
      <c r="F193" s="13" t="inlineStr">
        <is>
          <t>部分通過</t>
        </is>
      </c>
      <c r="G193" s="6" t="inlineStr">
        <is>
          <t>本機（開發板 DEV636 身份的模擬裝置 + 網頁）：TC1/2/5/6/7/8/10/11/13 通過；TC3 重綁後 log『Loaded 2 fact(s)』；TC4 第二台 starts cold、設定頁可切換；TC9 DB 層 B 解綁回 NULL、清除報錯，anon/authenticated 無 EXECUTE；TC10 舊代數寫入三表皆 HTTP 400、清除後 40 秒仍 0 行；TC12 伺服器端 4401 通過；pytest 214 passed。TC14（2026-10-12，rebase 到 main 後的 p1-12-rebased 8d4b9e2，本機 7861）：/ws/nextjs 以網頁 token 對話兩輪，波波熊有回應 → turn_metrics 0→3，memory_facts／memory_segments／conversations 皆 0→0；log 只有 NextJS websocket connected。真機 62:70（2026-10-12，localall 測試版 → 本機 7861/3014，p1-12-rebased）：按住 BOOT 對話 6 輪，conversations 記下『我隻狗叫豆豆…』；TC12：介面解綁（不勾清除）→ 16:06:51 即斷線，之後每次重連都在 auth 前被拒（device token refused），16:07:02 重新取 token 得 202 並顯示配對碼 UKDM7N；facts 1→1、conversations 14→14、segments 1→2（結束時的摘要）、revision 0。TC3：同帳號重綁 → log『Loaded 1 fact(s)』（有一隻3歲嘅狗叫豆豆）＋2 段摘要；真機問『我隻狗叫咩名』的回答未記錄（用戶決定直接部署）。發現：韌體拿到 202 後 websocket 仍每秒重連一次直到被認領，沒有真正停在配對狀態（不屬 P1-12 伺服器端，另開任務）。</t>
        </is>
      </c>
      <c r="H193" s="13" t="inlineStr">
        <is>
          <t>8db9d9c</t>
        </is>
      </c>
      <c r="I193" s="6" t="inlineStr">
        <is>
          <t>2026-10-12：用戶決定不再補測，直接部署。發布分支 p1-12-rebased（main 0eaa1bf ＋ zh-HK 默認 90b6b8a ＋ P1-12 三個 commit ＋ runbook 8db9d9c），runbook docs/deploy/release-2026-10-12-p1-12.sh（取代 multi-device 那份）。</t>
        </is>
      </c>
    </row>
    <row r="194" ht="32" customHeight="1">
      <c r="A194" s="13" t="inlineStr">
        <is>
          <t>2026-10-12 16:19</t>
        </is>
      </c>
      <c r="B194" s="13" t="inlineStr">
        <is>
          <t>R-34</t>
        </is>
      </c>
      <c r="C194" s="6" t="inlineStr">
        <is>
          <t>每個品牌一套獨立部署（資料庫、網頁、語音伺服器）</t>
        </is>
      </c>
      <c r="E194" s="13" t="inlineStr">
        <is>
          <t>未開始</t>
        </is>
      </c>
      <c r="I194" s="6" t="inlineStr">
        <is>
          <t>新增任務</t>
        </is>
      </c>
    </row>
    <row r="195" ht="32" customHeight="1">
      <c r="A195" s="13" t="inlineStr">
        <is>
          <t>2026-10-12 16:20</t>
        </is>
      </c>
      <c r="B195" s="13" t="inlineStr">
        <is>
          <t>R-35</t>
        </is>
      </c>
      <c r="C195" s="6" t="inlineStr">
        <is>
          <t>韌體按品牌連線：伺服器網址在出廠時寫入</t>
        </is>
      </c>
      <c r="E195" s="13" t="inlineStr">
        <is>
          <t>未開始</t>
        </is>
      </c>
      <c r="I195" s="6" t="inlineStr">
        <is>
          <t>新增任務</t>
        </is>
      </c>
    </row>
    <row r="196" ht="88" customHeight="1">
      <c r="A196" s="13" t="inlineStr">
        <is>
          <t>2026-10-12 16:20</t>
        </is>
      </c>
      <c r="B196" s="13" t="inlineStr">
        <is>
          <t>R-22</t>
        </is>
      </c>
      <c r="C196" s="6" t="inlineStr">
        <is>
          <t>多品牌資料模型：brands 表與設備的品牌</t>
        </is>
      </c>
      <c r="D196" s="13" t="inlineStr">
        <is>
          <t>未開始</t>
        </is>
      </c>
      <c r="E196" s="13" t="inlineStr">
        <is>
          <t>不適用</t>
        </is>
      </c>
      <c r="F196" s="13" t="n"/>
      <c r="G196" s="6" t="n"/>
      <c r="H196" s="13" t="n"/>
      <c r="I196" s="6" t="inlineStr">
        <is>
          <t>2026-10-12 用戶決定三個品牌各自一套獨立部署（資料庫、網頁、語音伺服器都分開，先放同一台伺服器），不再在一個資料庫裡用 brands 表區分品牌。品牌設定改為每套部署的環境變數和品牌包，併入 R-34。</t>
        </is>
      </c>
    </row>
    <row r="197" ht="74" customHeight="1">
      <c r="A197" s="13" t="inlineStr">
        <is>
          <t>2026-10-12 16:20</t>
        </is>
      </c>
      <c r="B197" s="13" t="inlineStr">
        <is>
          <t>R-23</t>
        </is>
      </c>
      <c r="C197" s="6" t="inlineStr">
        <is>
          <t>認領和顯示按品牌分開</t>
        </is>
      </c>
      <c r="D197" s="13" t="inlineStr">
        <is>
          <t>未開始</t>
        </is>
      </c>
      <c r="E197" s="13" t="inlineStr">
        <is>
          <t>不適用</t>
        </is>
      </c>
      <c r="F197" s="13" t="n"/>
      <c r="G197" s="6" t="n"/>
      <c r="H197" s="13" t="n"/>
      <c r="I197" s="6" t="inlineStr">
        <is>
          <t>2026-10-12：每套部署只有自己品牌的帳號和設備，認領和顯示自然分開。保留的防呆（設備品牌和本套不符就拒絕）併入 R-34 ⑧，綁定隔離由 R-35 ② 驗證。</t>
        </is>
      </c>
    </row>
    <row r="198" ht="46" customHeight="1">
      <c r="A198" s="13" t="inlineStr">
        <is>
          <t>2026-10-12 16:20</t>
        </is>
      </c>
      <c r="B198" s="13" t="inlineStr">
        <is>
          <t>R-24</t>
        </is>
      </c>
      <c r="C198" s="6" t="inlineStr">
        <is>
          <t>設備只能用自己品牌的角色</t>
        </is>
      </c>
      <c r="D198" s="13" t="inlineStr">
        <is>
          <t>未開始</t>
        </is>
      </c>
      <c r="E198" s="13" t="inlineStr">
        <is>
          <t>未開始</t>
        </is>
      </c>
      <c r="F198" s="13" t="n"/>
      <c r="G198" s="6" t="n"/>
      <c r="H198" s="13" t="n"/>
      <c r="I198" s="6" t="inlineStr">
        <is>
          <t>2026-10-12：改為按部署分開（R-34），不再依賴 brands 表。；修改了驗收標準、測試方法、依賴→R-34</t>
        </is>
      </c>
    </row>
    <row r="199" ht="60" customHeight="1">
      <c r="A199" s="13" t="inlineStr">
        <is>
          <t>2026-10-12 16:20</t>
        </is>
      </c>
      <c r="B199" s="13" t="inlineStr">
        <is>
          <t>R-25</t>
        </is>
      </c>
      <c r="C199" s="6" t="inlineStr">
        <is>
          <t>網頁的品牌主題系統</t>
        </is>
      </c>
      <c r="D199" s="13" t="inlineStr">
        <is>
          <t>未開始</t>
        </is>
      </c>
      <c r="E199" s="13" t="inlineStr">
        <is>
          <t>未開始</t>
        </is>
      </c>
      <c r="F199" s="13" t="n"/>
      <c r="G199" s="6" t="n"/>
      <c r="H199" s="13" t="n"/>
      <c r="I199" s="6" t="inlineStr">
        <is>
          <t>2026-10-12：品牌改由部署的環境變數決定，不再按網址判斷（三套分開部署，R-34）。；修改了驗收標準、測試方法</t>
        </is>
      </c>
    </row>
    <row r="200" ht="32" customHeight="1">
      <c r="A200" s="13" t="inlineStr">
        <is>
          <t>2026-10-12 16:20</t>
        </is>
      </c>
      <c r="B200" s="13" t="inlineStr">
        <is>
          <t>R-29</t>
        </is>
      </c>
      <c r="C200" s="6" t="inlineStr">
        <is>
          <t>AI Buddy App（品牌 C）頁面</t>
        </is>
      </c>
      <c r="D200" s="13" t="inlineStr">
        <is>
          <t>未開始</t>
        </is>
      </c>
      <c r="E200" s="13" t="inlineStr">
        <is>
          <t>未開始</t>
        </is>
      </c>
      <c r="F200" s="13" t="n"/>
      <c r="G200" s="6" t="n"/>
      <c r="H200" s="13" t="n"/>
      <c r="I200" s="6" t="inlineStr">
        <is>
          <t>修改了依賴→R-25, R-34</t>
        </is>
      </c>
    </row>
    <row r="201" ht="32" customHeight="1">
      <c r="A201" s="13" t="inlineStr">
        <is>
          <t>2026-10-12 16:20</t>
        </is>
      </c>
      <c r="B201" s="13" t="inlineStr">
        <is>
          <t>R-30</t>
        </is>
      </c>
      <c r="C201" s="6" t="inlineStr">
        <is>
          <t>快活 App（品牌 A）頁面</t>
        </is>
      </c>
      <c r="D201" s="13" t="inlineStr">
        <is>
          <t>未開始</t>
        </is>
      </c>
      <c r="E201" s="13" t="inlineStr">
        <is>
          <t>未開始</t>
        </is>
      </c>
      <c r="F201" s="13" t="n"/>
      <c r="G201" s="6" t="n"/>
      <c r="H201" s="13" t="n"/>
      <c r="I201" s="6" t="inlineStr">
        <is>
          <t>修改了依賴→R-25, R-34, Q12</t>
        </is>
      </c>
    </row>
    <row r="202" ht="32" customHeight="1">
      <c r="A202" s="13" t="inlineStr">
        <is>
          <t>2026-10-12 16:20</t>
        </is>
      </c>
      <c r="B202" s="13" t="inlineStr">
        <is>
          <t>R-31</t>
        </is>
      </c>
      <c r="C202" s="6" t="inlineStr">
        <is>
          <t>政協青年聯會版 App（品牌 B）頁面</t>
        </is>
      </c>
      <c r="D202" s="13" t="inlineStr">
        <is>
          <t>未開始</t>
        </is>
      </c>
      <c r="E202" s="13" t="inlineStr">
        <is>
          <t>未開始</t>
        </is>
      </c>
      <c r="F202" s="13" t="n"/>
      <c r="G202" s="6" t="n"/>
      <c r="H202" s="13" t="n"/>
      <c r="I202" s="6" t="inlineStr">
        <is>
          <t>修改了依賴→R-25, R-34, Q13</t>
        </is>
      </c>
    </row>
    <row r="203" ht="74" customHeight="1">
      <c r="A203" s="13" t="inlineStr">
        <is>
          <t>2026-10-12 16:20</t>
        </is>
      </c>
      <c r="B203" s="13" t="inlineStr">
        <is>
          <t>R-10</t>
        </is>
      </c>
      <c r="C203" s="6" t="inlineStr">
        <is>
          <t>出廠流程</t>
        </is>
      </c>
      <c r="D203" s="13" t="inlineStr">
        <is>
          <t>未開始</t>
        </is>
      </c>
      <c r="E203" s="13" t="inlineStr">
        <is>
          <t>未開始</t>
        </is>
      </c>
      <c r="F203" s="13" t="n"/>
      <c r="G203" s="6" t="n"/>
      <c r="H203" s="13" t="n"/>
      <c r="I203" s="6" t="inlineStr">
        <is>
          <t>2026-10-12：三個品牌分開部署後，出廠工位要把每台設備登記到該品牌那套的伺服器，並寫入該品牌的網址（R-35）。；修改了依賴→P0-06, P0-14, R-01, P2-12, Q10, R-34, R-35</t>
        </is>
      </c>
    </row>
    <row r="204" ht="46" customHeight="1">
      <c r="A204" s="13" t="inlineStr">
        <is>
          <t>2026-10-12 16:20</t>
        </is>
      </c>
      <c r="B204" s="13" t="inlineStr">
        <is>
          <t>P2-07</t>
        </is>
      </c>
      <c r="C204" s="6" t="inlineStr">
        <is>
          <t>資料庫備份與還原演練</t>
        </is>
      </c>
      <c r="D204" s="13" t="inlineStr">
        <is>
          <t>未開始</t>
        </is>
      </c>
      <c r="E204" s="13" t="inlineStr">
        <is>
          <t>未開始</t>
        </is>
      </c>
      <c r="F204" s="13" t="n"/>
      <c r="G204" s="6" t="n"/>
      <c r="H204" s="13" t="n"/>
      <c r="I204" s="6" t="inlineStr">
        <is>
          <t>2026-10-12：改為三套獨立部署（R-34），備份和還原演練三套都要做，由同一個腳本循環。</t>
        </is>
      </c>
    </row>
    <row r="205" ht="32" customHeight="1">
      <c r="A205" s="13" t="inlineStr">
        <is>
          <t>2026-10-12 16:20</t>
        </is>
      </c>
      <c r="B205" s="13" t="inlineStr">
        <is>
          <t>P2-06</t>
        </is>
      </c>
      <c r="C205" s="6" t="inlineStr">
        <is>
          <t>錯誤追蹤與告警</t>
        </is>
      </c>
      <c r="D205" s="13" t="inlineStr">
        <is>
          <t>未開始</t>
        </is>
      </c>
      <c r="E205" s="13" t="inlineStr">
        <is>
          <t>未開始</t>
        </is>
      </c>
      <c r="F205" s="13" t="n"/>
      <c r="G205" s="6" t="n"/>
      <c r="H205" s="13" t="n"/>
      <c r="I205" s="6" t="inlineStr">
        <is>
          <t>2026-10-12：三套獨立部署（R-34），監控集中在一個面板，告警寫明品牌。</t>
        </is>
      </c>
    </row>
    <row r="206" ht="158" customHeight="1">
      <c r="A206" s="13" t="inlineStr">
        <is>
          <t>2026-10-12 16:47</t>
        </is>
      </c>
      <c r="B206" s="13" t="inlineStr">
        <is>
          <t>P1-12</t>
        </is>
      </c>
      <c r="C206" s="6" t="inlineStr">
        <is>
          <t>設備解綁時的記憶處理：確認、預設保留、可選清除</t>
        </is>
      </c>
      <c r="D206" s="13" t="inlineStr">
        <is>
          <t>進行中</t>
        </is>
      </c>
      <c r="E206" s="13" t="inlineStr">
        <is>
          <t>進行中</t>
        </is>
      </c>
      <c r="F206" s="13" t="n"/>
      <c r="G206" s="6" t="n"/>
      <c r="H206" s="13" t="n"/>
      <c r="I206" s="6" t="inlineStr">
        <is>
          <t>2026-10-12：已部署到生產（8db9d9c，release-2026-10-12-p1-12.sh 第 7 步 19 項自動檢查全過：users.device_id 已刪、三表 device_id/memories_revision 與 trigger、unbind_device/clear_device_memory 只有 service_role 可呼叫、網頁→語音伺服器 /internal 200）。回填：生產 conversations 670/670 掛到設備，memory_facts 0。真機問答（TC3 最後一步）仍待在生產上補問一次。</t>
        </is>
      </c>
    </row>
    <row r="207" ht="32" customHeight="1">
      <c r="A207" s="13" t="inlineStr">
        <is>
          <t>2026-10-12 22:51</t>
        </is>
      </c>
      <c r="B207" s="13" t="inlineStr">
        <is>
          <t>P0-11</t>
        </is>
      </c>
      <c r="C207" s="6" t="inlineStr">
        <is>
          <t>設備認領要求持有證明</t>
        </is>
      </c>
      <c r="D207" s="13" t="inlineStr">
        <is>
          <t>未開始</t>
        </is>
      </c>
      <c r="E207" s="13" t="inlineStr">
        <is>
          <t>進行中</t>
        </is>
      </c>
      <c r="F207" s="13" t="n"/>
      <c r="G207" s="6" t="n"/>
      <c r="H207" s="13" t="n"/>
      <c r="I207" s="6" t="n"/>
    </row>
    <row r="208" ht="200" customHeight="1">
      <c r="A208" s="13" t="inlineStr">
        <is>
          <t>2026-10-12 22:51</t>
        </is>
      </c>
      <c r="B208" s="13" t="inlineStr">
        <is>
          <t>P0-11</t>
        </is>
      </c>
      <c r="C208" s="6" t="inlineStr">
        <is>
          <t>設備認領要求持有證明</t>
        </is>
      </c>
      <c r="D208" s="13" t="inlineStr">
        <is>
          <t>進行中</t>
        </is>
      </c>
      <c r="E208" s="13" t="inlineStr">
        <is>
          <t>進行中</t>
        </is>
      </c>
      <c r="F208" s="13" t="inlineStr">
        <is>
          <t>部分通過</t>
        </is>
      </c>
      <c r="G208" s="6" t="inlineStr">
        <is>
          <t>本機（分支 p0-11-bind-ticket da3709b，localhost:3015 + 本機 Supabase，測試腳本 22/22）：① 只帶 MAC → 401、密鑰 + user_code 當票 → 403 且設備仍無主 ② 票用過（另一台）／過期／本庫沒發過的票（他品牌）→ 403 ③ B 的票交給 A 的設備 → 409 device_owned，A 綁定不變、B 的票未作廢 ④ 有效票但無設備密鑰 → 401、票未作廢 ⑤ 密鑰 + 有效票 → 200 token，user_id 和 claimed_at 寫入；同一台重送同一張票 → 200 ⑥ DEVICE_CLAIM_LIST=False 時設定頁沒有未認領清單和配對碼欄，有未認領設備在線也看不到，12 秒內無輪詢；=True 時開發清單照舊可認領 ⑦ 同帳號並行 10 次取票 → 5×200、5×429，B 不受影響，滿一分鐘後恢復；表只存 SHA-256；authenticated 讀表／呼叫 RPC → 42501。未部署線上。</t>
        </is>
      </c>
      <c r="H208" s="13" t="inlineStr">
        <is>
          <t>da3709b</t>
        </is>
      </c>
      <c r="I208" s="6" t="inlineStr">
        <is>
          <t>伺服器端完成並在本機全部通過，未部署。注意：DEVICE_CLAIM_LIST 在生產預設關閉，部署後網頁不能再加新設備，要等 R-21 藍牙配網（或臨時在生產開 DEVICE_CLAIM_LIST）。分支以 mygithub/main（8db9d9c）為基礎；本機 main 落後且沒有 P1-12。</t>
        </is>
      </c>
    </row>
    <row r="209" ht="32" customHeight="1">
      <c r="A209" s="13" t="inlineStr">
        <is>
          <t>2026-10-12 22:52</t>
        </is>
      </c>
      <c r="B209" s="13" t="inlineStr">
        <is>
          <t>R-36</t>
        </is>
      </c>
      <c r="C209" s="6" t="inlineStr">
        <is>
          <t>未認領的設備停在配對狀態，不再每秒重連 websocket</t>
        </is>
      </c>
      <c r="E209" s="13" t="inlineStr">
        <is>
          <t>未開始</t>
        </is>
      </c>
      <c r="I209" s="6" t="inlineStr">
        <is>
          <t>新增任務</t>
        </is>
      </c>
    </row>
    <row r="210" ht="60" customHeight="1">
      <c r="A210" s="13" t="inlineStr">
        <is>
          <t>2026-10-12 22:54</t>
        </is>
      </c>
      <c r="B210" s="13" t="inlineStr">
        <is>
          <t>P0-11</t>
        </is>
      </c>
      <c r="C210" s="6" t="inlineStr">
        <is>
          <t>設備認領要求持有證明</t>
        </is>
      </c>
      <c r="D210" s="13" t="inlineStr">
        <is>
          <t>進行中</t>
        </is>
      </c>
      <c r="E210" s="13" t="inlineStr">
        <is>
          <t>進行中</t>
        </is>
      </c>
      <c r="F210" s="13" t="n"/>
      <c r="G210" s="6" t="n"/>
      <c r="H210" s="13" t="n"/>
      <c r="I210" s="6" t="inlineStr">
        <is>
          <t>2026-10-12 用戶決定：P0-11 不單獨部署，等 R-21 藍牙配網做好後一起上線，避免生產網頁在中間這段時間不能加新設備。</t>
        </is>
      </c>
    </row>
    <row r="211" ht="32" customHeight="1">
      <c r="A211" s="13" t="inlineStr">
        <is>
          <t>2026-10-12 22:54</t>
        </is>
      </c>
      <c r="B211" s="13" t="inlineStr">
        <is>
          <t>R-36</t>
        </is>
      </c>
      <c r="C211" s="6" t="inlineStr">
        <is>
          <t>未認領的設備停在配對狀態，不再每秒重連 websocket</t>
        </is>
      </c>
      <c r="D211" s="13" t="inlineStr">
        <is>
          <t>未開始</t>
        </is>
      </c>
      <c r="E211" s="13" t="inlineStr">
        <is>
          <t>進行中</t>
        </is>
      </c>
      <c r="F211" s="13" t="n"/>
      <c r="G211" s="6" t="n"/>
      <c r="H211" s="13" t="n"/>
      <c r="I211" s="6" t="n"/>
    </row>
    <row r="212" ht="172" customHeight="1">
      <c r="A212" s="13" t="inlineStr">
        <is>
          <t>2026-10-12 22:58</t>
        </is>
      </c>
      <c r="B212" s="13" t="inlineStr">
        <is>
          <t>R-36</t>
        </is>
      </c>
      <c r="C212" s="6" t="inlineStr">
        <is>
          <t>未認領的設備停在配對狀態，不再每秒重連 websocket</t>
        </is>
      </c>
      <c r="D212" s="13" t="inlineStr">
        <is>
          <t>進行中</t>
        </is>
      </c>
      <c r="E212" s="13" t="inlineStr">
        <is>
          <t>進行中</t>
        </is>
      </c>
      <c r="F212" s="13" t="n"/>
      <c r="G212" s="6" t="n"/>
      <c r="H212" s="13" t="inlineStr">
        <is>
          <t>e964851</t>
        </is>
      </c>
      <c r="I212" s="6" t="inlineStr">
        <is>
          <t>2026-10-12 韌體已改（分支 r-36-unclaimed-idle，以 mygithub/main 為基礎）：token 在 auth 前被拒就暫停 websocket（networkTask 不再呼叫 webSocket.loop），只有 startSessionIfReady 拿到新 token 才恢復；202 時清掉舊 token、標記未認領，閒置時 LED 慢閃洋紅（有螢幕的板顯示 NOT PAIRED）。spotpear-ai-toy 和 -localall 都編譯通過（Flash 75.6%）。真機測試未做：62:70 未接上，Mac 當時不在公司網絡。</t>
        </is>
      </c>
    </row>
    <row r="213" ht="32" customHeight="1">
      <c r="A213" s="13" t="inlineStr">
        <is>
          <t>2026-10-12 23:06</t>
        </is>
      </c>
      <c r="B213" s="13" t="inlineStr">
        <is>
          <t>P0-07</t>
        </is>
      </c>
      <c r="C213" s="6" t="inlineStr">
        <is>
          <t>輪換 JWT secret，作廢已發出的 token</t>
        </is>
      </c>
      <c r="D213" s="13" t="inlineStr">
        <is>
          <t>未開始</t>
        </is>
      </c>
      <c r="E213" s="13" t="inlineStr">
        <is>
          <t>進行中</t>
        </is>
      </c>
      <c r="F213" s="13" t="n"/>
      <c r="G213" s="6" t="n"/>
      <c r="H213" s="13" t="n"/>
      <c r="I213" s="6" t="n"/>
    </row>
    <row r="214" ht="158" customHeight="1">
      <c r="A214" s="13" t="inlineStr">
        <is>
          <t>2026-10-12 23:06</t>
        </is>
      </c>
      <c r="B214" s="13" t="inlineStr">
        <is>
          <t>P0-07</t>
        </is>
      </c>
      <c r="C214" s="6" t="inlineStr">
        <is>
          <t>輪換 JWT secret，作廢已發出的 token</t>
        </is>
      </c>
      <c r="D214" s="13" t="inlineStr">
        <is>
          <t>進行中</t>
        </is>
      </c>
      <c r="E214" s="13" t="inlineStr">
        <is>
          <t>進行中</t>
        </is>
      </c>
      <c r="F214" s="13" t="n"/>
      <c r="G214" s="6" t="n"/>
      <c r="H214" s="13" t="n"/>
      <c r="I214" s="6" t="inlineStr">
        <is>
          <t>2026-10-12：runbook 已寫好（分支 p0-07-rotate-secrets）。輔助函數本機測試 18/18：自簽 JWT 能被 node jsonwebtoken 驗證、語音伺服器 device_auth.verify 接受新 token、拒絕簽錯的 token、env 檔替換正確。驗收從「所有設備重新配對」改為「設備不用重新配對」，因為 P0-06 之後設備靠設備密鑰自動換 token。下一步：用戶在伺服器跑 STEP=0（只讀）並把結果貼回來。；修改了驗收標準、測試方法</t>
        </is>
      </c>
    </row>
    <row r="215" ht="32" customHeight="1">
      <c r="A215" s="13" t="inlineStr">
        <is>
          <t>2026-10-13 14:29</t>
        </is>
      </c>
      <c r="B215" s="13" t="inlineStr">
        <is>
          <t>R-37</t>
        </is>
      </c>
      <c r="C215" s="6" t="inlineStr">
        <is>
          <t>網頁設定玩具的 Wi-Fi：查看、新增、刪除</t>
        </is>
      </c>
      <c r="E215" s="13" t="inlineStr">
        <is>
          <t>未開始</t>
        </is>
      </c>
      <c r="I215" s="6" t="inlineStr">
        <is>
          <t>新增任務</t>
        </is>
      </c>
    </row>
    <row r="216" ht="32" customHeight="1">
      <c r="A216" s="13" t="inlineStr">
        <is>
          <t>2026-10-13 14:29</t>
        </is>
      </c>
      <c r="B216" s="13" t="inlineStr">
        <is>
          <t>R-21</t>
        </is>
      </c>
      <c r="C216" s="6" t="inlineStr">
        <is>
          <t>藍牙配網與綁定（取代熱點配網）</t>
        </is>
      </c>
      <c r="D216" s="13" t="inlineStr">
        <is>
          <t>未開始</t>
        </is>
      </c>
      <c r="E216" s="13" t="inlineStr">
        <is>
          <t>進行中</t>
        </is>
      </c>
      <c r="F216" s="13" t="n"/>
      <c r="G216" s="6" t="n"/>
      <c r="H216" s="13" t="n"/>
      <c r="I216" s="6" t="n"/>
    </row>
    <row r="217" ht="228" customHeight="1">
      <c r="A217" s="13" t="inlineStr">
        <is>
          <t>2026-10-13 14:29</t>
        </is>
      </c>
      <c r="B217" s="13" t="inlineStr">
        <is>
          <t>R-21</t>
        </is>
      </c>
      <c r="C217" s="6" t="inlineStr">
        <is>
          <t>藍牙配網與綁定（取代熱點配網）</t>
        </is>
      </c>
      <c r="D217" s="13" t="inlineStr">
        <is>
          <t>進行中</t>
        </is>
      </c>
      <c r="E217" s="13" t="inlineStr">
        <is>
          <t>進行中</t>
        </is>
      </c>
      <c r="F217" s="13" t="n"/>
      <c r="G217" s="6" t="n"/>
      <c r="H217" s="13" t="n"/>
      <c r="I217" s="6" t="inlineStr">
        <is>
          <t>2026-10-13 量度（分支 r-21-ble-provisioning，測試版 spotpear-ai-toy-bleprobe，Espressif wifi_provisioning BLE + security 1）：韌體 1,585,162 → 2,254,868 bytes（+670KB，超出 2MB app 分區，P2-12 必須改 4MB，partition_4m.csv 已編譯通過）；靜態 RAM 57,0→78,1KB（+21KB）。62:70 實機：開 WiFi STA 後 heap 153.8KB，藍牙廣播中 89.2KB（最大塊 69.6KB）。仍未量：藍牙開著時連 WiFi + HTTPS 的最低 heap（決定綁定結果經藍牙回傳還是由 App 查伺服器）。協定選 Espressif 標準，Neo 可用官方 ESP Provisioning iOS/Android 庫，綁定票走自訂 endpoint。</t>
        </is>
      </c>
    </row>
    <row r="218" ht="46" customHeight="1">
      <c r="A218" s="13" t="inlineStr">
        <is>
          <t>2026-10-13 14:29</t>
        </is>
      </c>
      <c r="B218" s="13" t="inlineStr">
        <is>
          <t>R-29</t>
        </is>
      </c>
      <c r="C218" s="6" t="inlineStr">
        <is>
          <t>AI Buddy App（品牌 C）頁面</t>
        </is>
      </c>
      <c r="D218" s="13" t="inlineStr">
        <is>
          <t>未開始</t>
        </is>
      </c>
      <c r="E218" s="13" t="inlineStr">
        <is>
          <t>阻塞</t>
        </is>
      </c>
      <c r="F218" s="13" t="n"/>
      <c r="G218" s="6" t="n"/>
      <c r="H218" s="13" t="n"/>
      <c r="I218" s="6" t="inlineStr">
        <is>
          <t>2026-10-13 用戶決定：AI Buddy（品牌 C）延到 1/15 之後，本項不卡 1/15 出廠；AI Buddy 啟動時再開。</t>
        </is>
      </c>
    </row>
    <row r="219" ht="46" customHeight="1">
      <c r="A219" s="13" t="inlineStr">
        <is>
          <t>2026-10-13 14:29</t>
        </is>
      </c>
      <c r="B219" s="13" t="inlineStr">
        <is>
          <t>P1-09</t>
        </is>
      </c>
      <c r="C219" s="6" t="inlineStr">
        <is>
          <t>家長鎖：孩子模式進設定要輸入 PIN</t>
        </is>
      </c>
      <c r="D219" s="13" t="inlineStr">
        <is>
          <t>未開始</t>
        </is>
      </c>
      <c r="E219" s="13" t="inlineStr">
        <is>
          <t>阻塞</t>
        </is>
      </c>
      <c r="F219" s="13" t="n"/>
      <c r="G219" s="6" t="n"/>
      <c r="H219" s="13" t="n"/>
      <c r="I219" s="6" t="inlineStr">
        <is>
          <t>2026-10-13 用戶決定：AI Buddy（品牌 C）延到 1/15 之後，本項不卡 1/15 出廠；AI Buddy 啟動時再開。</t>
        </is>
      </c>
    </row>
    <row r="220" ht="46" customHeight="1">
      <c r="A220" s="13" t="inlineStr">
        <is>
          <t>2026-10-13 14:29</t>
        </is>
      </c>
      <c r="B220" s="13" t="inlineStr">
        <is>
          <t>R-12</t>
        </is>
      </c>
      <c r="C220" s="6" t="inlineStr">
        <is>
          <t>家長控制：每日使用上限和休息時段</t>
        </is>
      </c>
      <c r="D220" s="13" t="inlineStr">
        <is>
          <t>未開始</t>
        </is>
      </c>
      <c r="E220" s="13" t="inlineStr">
        <is>
          <t>阻塞</t>
        </is>
      </c>
      <c r="F220" s="13" t="n"/>
      <c r="G220" s="6" t="n"/>
      <c r="H220" s="13" t="n"/>
      <c r="I220" s="6" t="inlineStr">
        <is>
          <t>2026-10-13 用戶決定：AI Buddy（品牌 C）延到 1/15 之後，本項不卡 1/15 出廠；AI Buddy 啟動時再開。</t>
        </is>
      </c>
    </row>
    <row r="221" ht="46" customHeight="1">
      <c r="A221" s="13" t="inlineStr">
        <is>
          <t>2026-10-13 14:29</t>
        </is>
      </c>
      <c r="B221" s="13" t="inlineStr">
        <is>
          <t>R-31</t>
        </is>
      </c>
      <c r="C221" s="6" t="inlineStr">
        <is>
          <t>政協青年聯會版 App（品牌 B）頁面</t>
        </is>
      </c>
      <c r="D221" s="13" t="inlineStr">
        <is>
          <t>未開始</t>
        </is>
      </c>
      <c r="E221" s="13" t="inlineStr">
        <is>
          <t>未開始</t>
        </is>
      </c>
      <c r="F221" s="13" t="n"/>
      <c r="G221" s="6" t="n"/>
      <c r="H221" s="13" t="n"/>
      <c r="I221" s="6" t="inlineStr">
        <is>
          <t>2026-10-13 用戶決定：政協青年聯會版沿用快活的成人版流程，只換外觀和角色，不另寫頁面。</t>
        </is>
      </c>
    </row>
    <row r="222" ht="88" customHeight="1">
      <c r="A222" s="13" t="inlineStr">
        <is>
          <t>2026-10-13 14:29</t>
        </is>
      </c>
      <c r="B222" s="13" t="inlineStr">
        <is>
          <t>R-08</t>
        </is>
      </c>
      <c r="C222" s="6" t="inlineStr">
        <is>
          <t>第 8 週關卡決策</t>
        </is>
      </c>
      <c r="D222" s="13" t="inlineStr">
        <is>
          <t>未開始</t>
        </is>
      </c>
      <c r="E222" s="13" t="inlineStr">
        <is>
          <t>未開始</t>
        </is>
      </c>
      <c r="F222" s="13" t="n"/>
      <c r="G222" s="6" t="n"/>
      <c r="H222" s="13" t="n"/>
      <c r="I222" s="6" t="inlineStr">
        <is>
          <t>2026-10-13：1/15 只出快活和政協青年聯會兩個品牌（AI Buddy 延後），Tool call 只做調音量和結束對話，RAG v1 只放馬會第一批資料（答對率 80%，婉拒貼士 100%）。關卡決策按這個範圍做。</t>
        </is>
      </c>
    </row>
    <row r="223" ht="32" customHeight="1">
      <c r="A223" s="13" t="inlineStr">
        <is>
          <t>2026-10-13 14:30</t>
        </is>
      </c>
      <c r="B223" s="13" t="inlineStr">
        <is>
          <t>R-21</t>
        </is>
      </c>
      <c r="C223" s="6" t="inlineStr">
        <is>
          <t>藍牙配網與綁定（取代熱點配網）</t>
        </is>
      </c>
      <c r="D223" s="13" t="inlineStr">
        <is>
          <t>進行中</t>
        </is>
      </c>
      <c r="E223" s="13" t="inlineStr">
        <is>
          <t>進行中</t>
        </is>
      </c>
      <c r="F223" s="13" t="n"/>
      <c r="G223" s="6" t="n"/>
      <c r="H223" s="13" t="n"/>
      <c r="I223" s="6" t="inlineStr">
        <is>
          <t>更正上一條：靜態 RAM 56,988 → 78,092 bytes（+21KB）。</t>
        </is>
      </c>
    </row>
    <row r="224" ht="32" customHeight="1">
      <c r="A224" s="13" t="inlineStr">
        <is>
          <t>2026-10-13 16:33</t>
        </is>
      </c>
      <c r="B224" s="13" t="inlineStr">
        <is>
          <t>R-37</t>
        </is>
      </c>
      <c r="C224" s="6" t="inlineStr">
        <is>
          <t>網頁設定玩具的 Wi-Fi：查看、新增、刪除</t>
        </is>
      </c>
      <c r="D224" s="13" t="inlineStr">
        <is>
          <t>未開始</t>
        </is>
      </c>
      <c r="E224" s="13" t="inlineStr">
        <is>
          <t>進行中</t>
        </is>
      </c>
      <c r="F224" s="13" t="n"/>
      <c r="G224" s="6" t="n"/>
      <c r="H224" s="13" t="n"/>
      <c r="I224" s="6" t="n"/>
    </row>
    <row r="225" ht="172" customHeight="1">
      <c r="A225" s="13" t="inlineStr">
        <is>
          <t>2026-10-13 16:33</t>
        </is>
      </c>
      <c r="B225" s="13" t="inlineStr">
        <is>
          <t>R-37</t>
        </is>
      </c>
      <c r="C225" s="6" t="inlineStr">
        <is>
          <t>網頁設定玩具的 Wi-Fi：查看、新增、刪除</t>
        </is>
      </c>
      <c r="D225" s="13" t="inlineStr">
        <is>
          <t>進行中</t>
        </is>
      </c>
      <c r="E225" s="13" t="inlineStr">
        <is>
          <t>進行中</t>
        </is>
      </c>
      <c r="F225" s="13" t="inlineStr">
        <is>
          <t>部分通過</t>
        </is>
      </c>
      <c r="G225" s="6" t="inlineStr">
        <is>
          <t>模擬玩具經本機語音服務器＋網頁：status/scan/add/delete 正常；刪除目前 Wi-Fi → current 被拒；斷線 5 秒內頁面顯示睡著、按鈕停用；測試密碼在語音服務器日誌、網頁服務器日誌、資料庫均搜不到；用別人裝置 ID 重放 server action → forbidden；pytest 17 項通過（全套 230）；韌體 spotpear-ai-toy-localall 編譯通過（RAM 17.5%、Flash 75.9%）。未測：真機 ①② 及 OTA 推出</t>
        </is>
      </c>
      <c r="H225" s="13" t="n"/>
      <c r="I225" s="6" t="inlineStr">
        <is>
          <t>2026-10-13 應 Jacky 要求從 W4 提前開始。韌體：上限 8 個、NVS apOk%d 記錄連過、經 /ws/esp32 收 status/add/delete/scan、不刪不改目前 Wi-Fi、Wi-Fi 指令不印串口、修 delWifi 計數 bug。伺服器：device_wifi.py＋/internal/device_wifi（含 peek），密碼只轉送不留存。網頁：我 &gt; 裝置 &gt; Network &gt; Wi-Fi（Figma C4），deviceWifiAction 檢查擁有者。剩真機測試 ①②（需 62:70 刷 -localall＋兩個真實網絡）與 OTA。</t>
        </is>
      </c>
    </row>
    <row r="226" ht="32" customHeight="1">
      <c r="A226" s="13" t="inlineStr">
        <is>
          <t>2026-10-13 19:05</t>
        </is>
      </c>
      <c r="B226" s="13" t="inlineStr">
        <is>
          <t>R-38</t>
        </is>
      </c>
      <c r="C226" s="6" t="inlineStr">
        <is>
          <t>公仔出廠鎖死所屬 IP，綁定時顯示該 IP 頭像</t>
        </is>
      </c>
      <c r="E226" s="13" t="inlineStr">
        <is>
          <t>未開始</t>
        </is>
      </c>
      <c r="I226" s="6" t="inlineStr">
        <is>
          <t>新增任務</t>
        </is>
      </c>
    </row>
    <row r="227" ht="74" customHeight="1">
      <c r="A227" s="13" t="inlineStr">
        <is>
          <t>2026-10-13 19:06</t>
        </is>
      </c>
      <c r="B227" s="13" t="inlineStr">
        <is>
          <t>R-10</t>
        </is>
      </c>
      <c r="C227" s="6" t="inlineStr">
        <is>
          <t>出廠流程</t>
        </is>
      </c>
      <c r="D227" s="13" t="inlineStr">
        <is>
          <t>未開始</t>
        </is>
      </c>
      <c r="E227" s="13" t="inlineStr">
        <is>
          <t>未開始</t>
        </is>
      </c>
      <c r="F227" s="13" t="n"/>
      <c r="G227" s="6" t="n"/>
      <c r="H227" s="13" t="n"/>
      <c r="I227" s="6" t="inlineStr">
        <is>
          <t>2026-10-13：工位登記要寫入該公仔的 ip_key 和預設角色（R-38）。IP 不編進共用韌體。；修改了驗收標準、測試方法、依賴→P0-06, P0-14, R-01, P2-12, Q10, R-34, R-35, R-38</t>
        </is>
      </c>
    </row>
    <row r="228" ht="32" customHeight="1">
      <c r="A228" s="13" t="inlineStr">
        <is>
          <t>2026-10-14 10:25</t>
        </is>
      </c>
      <c r="B228" s="13" t="inlineStr">
        <is>
          <t>P2-12</t>
        </is>
      </c>
      <c r="C228" s="6" t="inlineStr">
        <is>
          <t>量產燒錄前加大 app 分區</t>
        </is>
      </c>
      <c r="D228" s="13" t="inlineStr">
        <is>
          <t>未開始</t>
        </is>
      </c>
      <c r="E228" s="13" t="inlineStr">
        <is>
          <t>進行中</t>
        </is>
      </c>
      <c r="F228" s="13" t="n"/>
      <c r="G228" s="6" t="n"/>
      <c r="H228" s="13" t="n"/>
      <c r="I228" s="6" t="n"/>
    </row>
    <row r="229" ht="200" customHeight="1">
      <c r="A229" s="13" t="inlineStr">
        <is>
          <t>2026-10-14 10:25</t>
        </is>
      </c>
      <c r="B229" s="13" t="inlineStr">
        <is>
          <t>P2-12</t>
        </is>
      </c>
      <c r="C229" s="6" t="inlineStr">
        <is>
          <t>量產燒錄前加大 app 分區</t>
        </is>
      </c>
      <c r="D229" s="13" t="inlineStr">
        <is>
          <t>進行中</t>
        </is>
      </c>
      <c r="E229" s="13" t="inlineStr">
        <is>
          <t>進行中</t>
        </is>
      </c>
      <c r="F229" s="13" t="inlineStr">
        <is>
          <t>部分通過</t>
        </is>
      </c>
      <c r="G229" s="6" t="inlineStr">
        <is>
          <t>62:70（分支 p2-12-partitions，env spotpear-ai-toy-p212，partition_16m.csv：app0/app1 各 4MB、assets 2MB、nvs_keys、coredump、media 5.8MB；nvs/otadata 位置不變，USB 換表後 Wi-Fi 與設備密鑰保留）：① 本機 OTA 1.6.1→1.6.2 寫入新 app1，Voice server reached 後 120s『Firmware 1.6.2 confirmed』② 推 3 秒 abort 的 1.6.3 → PANIC → 回到 1.6.2，devices.ota_failed_version=1.6.3 ③ 崩潰寫入 coredump 分區 14.8KB ④ 資源分區 9 個聲音 504KB（25%），開機 CRC 63ms，OTA 後照常；損壞/清空 → 退回內建聲音無崩潰 ⑤ 映像 1,591,168 bytes &lt; 4MB；release_firmware.py 加映像 &gt; app 槽即拒發。未做：雲端 OTA、pio 全 env 編譯、R-21 藍牙版在新表上的大小、正式 env 改用新表、寫入出廠腳本（R-10）</t>
        </is>
      </c>
      <c r="H229" s="13" t="inlineStr">
        <is>
          <t>99204e9</t>
        </is>
      </c>
      <c r="I229" s="6" t="n"/>
    </row>
    <row r="230" ht="102" customHeight="1">
      <c r="A230" s="13" t="inlineStr">
        <is>
          <t>2026-10-14 10:25</t>
        </is>
      </c>
      <c r="B230" s="13" t="inlineStr">
        <is>
          <t>P2-12</t>
        </is>
      </c>
      <c r="C230" s="6" t="inlineStr">
        <is>
          <t>量產燒錄前加大 app 分區</t>
        </is>
      </c>
      <c r="D230" s="13" t="inlineStr">
        <is>
          <t>進行中</t>
        </is>
      </c>
      <c r="E230" s="13" t="inlineStr">
        <is>
          <t>進行中</t>
        </is>
      </c>
      <c r="F230" s="13" t="n"/>
      <c r="G230" s="6" t="n"/>
      <c r="H230" s="13" t="n"/>
      <c r="I230" s="6" t="inlineStr">
        <is>
          <t>2026-10-14：用戶要求把配網提示音放進韌體；7 句 16kHz PCM 約 420KB，編進 app 後映像 2,147,728 bytes 超過 2MB 槽，板子在 bootloader 循環重啟（pio 仍報 Flash 99% SUCCESS）。按路線圖改放品牌資源分區。分區表待用戶確認後才算定案。</t>
        </is>
      </c>
    </row>
    <row r="231" ht="144" customHeight="1">
      <c r="A231" s="13" t="inlineStr">
        <is>
          <t>2026-10-14 10:28</t>
        </is>
      </c>
      <c r="B231" s="13" t="inlineStr">
        <is>
          <t>P2-12</t>
        </is>
      </c>
      <c r="C231" s="6" t="inlineStr">
        <is>
          <t>量產燒錄前加大 app 分區</t>
        </is>
      </c>
      <c r="D231" s="13" t="inlineStr">
        <is>
          <t>進行中</t>
        </is>
      </c>
      <c r="E231" s="13" t="inlineStr">
        <is>
          <t>進行中</t>
        </is>
      </c>
      <c r="F231" s="13" t="n"/>
      <c r="G231" s="6" t="n"/>
      <c r="H231" s="13" t="n"/>
      <c r="I231" s="6" t="inlineStr">
        <is>
          <t>2026-10-14 用戶定案 partition_16m.csv：nvs 0x9000/20K、otadata 0xe000/8K（不變）、app0 0x10000/4MB、app1 0x410000/4MB、assets 0x810000/2MB（品牌聲音）、nvs_keys 0xa10000/4K（P0-14）、coredump 0xa20000/64K、media 0xa30000/5.8MB（R-14）。spotpear-ai-toy 全部 env 改用此表；R-21 藍牙探針版映像 2,326,128 bytes，在 4MB 槽內。</t>
        </is>
      </c>
    </row>
    <row r="232" ht="74" customHeight="1">
      <c r="A232" s="13" t="inlineStr">
        <is>
          <t>2026-10-14 10:29</t>
        </is>
      </c>
      <c r="B232" s="13" t="inlineStr">
        <is>
          <t>R-10</t>
        </is>
      </c>
      <c r="C232" s="6" t="inlineStr">
        <is>
          <t>出廠流程</t>
        </is>
      </c>
      <c r="D232" s="13" t="inlineStr">
        <is>
          <t>未開始</t>
        </is>
      </c>
      <c r="E232" s="13" t="inlineStr">
        <is>
          <t>未開始</t>
        </is>
      </c>
      <c r="F232" s="13" t="n"/>
      <c r="G232" s="6" t="n"/>
      <c r="H232" s="13" t="n"/>
      <c r="I232" s="6" t="inlineStr">
        <is>
          <t>2026-10-14：P2-12 定案後，工位多一步：按品牌寫入資源包（tools/build_assets.py --brand ... → esptool write_flash 0x810000），開機 log『Assets: brand ...crc ok』作自檢一項。</t>
        </is>
      </c>
    </row>
    <row r="233" ht="32" customHeight="1">
      <c r="A233" s="13" t="inlineStr">
        <is>
          <t>2026-10-14 10:33</t>
        </is>
      </c>
      <c r="B233" s="13" t="inlineStr">
        <is>
          <t>P2-13</t>
        </is>
      </c>
      <c r="C233" s="6" t="inlineStr">
        <is>
          <t>Admin 後台改成分組側欄（新頁面先用示例數據預覽）</t>
        </is>
      </c>
      <c r="E233" s="13" t="inlineStr">
        <is>
          <t>未開始</t>
        </is>
      </c>
      <c r="I233" s="6" t="inlineStr">
        <is>
          <t>新增任務</t>
        </is>
      </c>
    </row>
    <row r="234" ht="32" customHeight="1">
      <c r="A234" s="13" t="inlineStr">
        <is>
          <t>2026-10-14 10:33</t>
        </is>
      </c>
      <c r="B234" s="13" t="inlineStr">
        <is>
          <t>P1-13</t>
        </is>
      </c>
      <c r="C234" s="6" t="inlineStr">
        <is>
          <t>PLACEHOLDER</t>
        </is>
      </c>
      <c r="E234" s="13" t="inlineStr">
        <is>
          <t>未開始</t>
        </is>
      </c>
      <c r="I234" s="6" t="inlineStr">
        <is>
          <t>新增任務</t>
        </is>
      </c>
    </row>
    <row r="235" ht="46" customHeight="1">
      <c r="A235" s="13" t="inlineStr">
        <is>
          <t>2026-10-14 10:34</t>
        </is>
      </c>
      <c r="B235" s="13" t="inlineStr">
        <is>
          <t>P1-13</t>
        </is>
      </c>
      <c r="C235" s="6" t="inlineStr">
        <is>
          <t>PLACEHOLDER</t>
        </is>
      </c>
      <c r="D235" s="13" t="inlineStr">
        <is>
          <t>未開始</t>
        </is>
      </c>
      <c r="E235" s="13" t="inlineStr">
        <is>
          <t>不適用</t>
        </is>
      </c>
      <c r="F235" s="13" t="n"/>
      <c r="G235" s="6" t="n"/>
      <c r="H235" s="13" t="n"/>
      <c r="I235" s="6" t="inlineStr">
        <is>
          <t>2026-10-14 新增任務時指令打錯而誤建的空白行，沒有內容，不代表任何工作。</t>
        </is>
      </c>
    </row>
    <row r="236" ht="32" customHeight="1">
      <c r="A236" s="13" t="inlineStr">
        <is>
          <t>2026-10-14 10:34</t>
        </is>
      </c>
      <c r="B236" s="13" t="inlineStr">
        <is>
          <t>P2-14</t>
        </is>
      </c>
      <c r="C236" s="6" t="inlineStr">
        <is>
          <t>Admin 設備頁：每台玩具的狀態、韌體與基本操作</t>
        </is>
      </c>
      <c r="E236" s="13" t="inlineStr">
        <is>
          <t>未開始</t>
        </is>
      </c>
      <c r="I236" s="6" t="inlineStr">
        <is>
          <t>新增任務</t>
        </is>
      </c>
    </row>
    <row r="237" ht="32" customHeight="1">
      <c r="A237" s="13" t="inlineStr">
        <is>
          <t>2026-10-14 10:34</t>
        </is>
      </c>
      <c r="B237" s="13" t="inlineStr">
        <is>
          <t>P2-15</t>
        </is>
      </c>
      <c r="C237" s="6" t="inlineStr">
        <is>
          <t>Admin 總覽頁：在線、用量、成本與待處理事項</t>
        </is>
      </c>
      <c r="E237" s="13" t="inlineStr">
        <is>
          <t>未開始</t>
        </is>
      </c>
      <c r="I237" s="6" t="inlineStr">
        <is>
          <t>新增任務</t>
        </is>
      </c>
    </row>
    <row r="238" ht="32" customHeight="1">
      <c r="A238" s="13" t="inlineStr">
        <is>
          <t>2026-10-14 10:35</t>
        </is>
      </c>
      <c r="B238" s="13" t="inlineStr">
        <is>
          <t>P2-15</t>
        </is>
      </c>
      <c r="C238" s="6" t="inlineStr">
        <is>
          <t>Admin 總覽頁：在線、用量、成本與待處理事項</t>
        </is>
      </c>
      <c r="D238" s="13" t="inlineStr">
        <is>
          <t>未開始</t>
        </is>
      </c>
      <c r="E238" s="13" t="inlineStr">
        <is>
          <t>未開始</t>
        </is>
      </c>
      <c r="F238" s="13" t="n"/>
      <c r="G238" s="6" t="n"/>
      <c r="H238" s="13" t="n"/>
      <c r="I238" s="6" t="inlineStr">
        <is>
          <t>修改了依賴→P2-14, P2-09</t>
        </is>
      </c>
    </row>
    <row r="239" ht="32" customHeight="1">
      <c r="A239" s="13" t="inlineStr">
        <is>
          <t>2026-10-14 10:35</t>
        </is>
      </c>
      <c r="B239" s="13" t="inlineStr">
        <is>
          <t>P2-16</t>
        </is>
      </c>
      <c r="C239" s="6" t="inlineStr">
        <is>
          <t>OTA 分批推送與後台發佈頁</t>
        </is>
      </c>
      <c r="E239" s="13" t="inlineStr">
        <is>
          <t>未開始</t>
        </is>
      </c>
      <c r="I239" s="6" t="inlineStr">
        <is>
          <t>新增任務</t>
        </is>
      </c>
    </row>
    <row r="240" ht="32" customHeight="1">
      <c r="A240" s="13" t="inlineStr">
        <is>
          <t>2026-10-14 10:35</t>
        </is>
      </c>
      <c r="B240" s="13" t="inlineStr">
        <is>
          <t>R-39</t>
        </is>
      </c>
      <c r="C240" s="6" t="inlineStr">
        <is>
          <t>Admin 出廠登記頁：匯入 MAC 清單、指定公仔、查看自檢結果</t>
        </is>
      </c>
      <c r="E240" s="13" t="inlineStr">
        <is>
          <t>未開始</t>
        </is>
      </c>
      <c r="I240" s="6" t="inlineStr">
        <is>
          <t>新增任務</t>
        </is>
      </c>
    </row>
    <row r="241" ht="32" customHeight="1">
      <c r="A241" s="13" t="inlineStr">
        <is>
          <t>2026-10-14 10:35</t>
        </is>
      </c>
      <c r="B241" s="13" t="inlineStr">
        <is>
          <t>R-40</t>
        </is>
      </c>
      <c r="C241" s="6" t="inlineStr">
        <is>
          <t>Admin 客服查詢頁：查帳號、名下設備與最近事件</t>
        </is>
      </c>
      <c r="E241" s="13" t="inlineStr">
        <is>
          <t>未開始</t>
        </is>
      </c>
      <c r="I241" s="6" t="inlineStr">
        <is>
          <t>新增任務</t>
        </is>
      </c>
    </row>
    <row r="242" ht="32" customHeight="1">
      <c r="A242" s="13" t="inlineStr">
        <is>
          <t>2026-10-14 10:35</t>
        </is>
      </c>
      <c r="B242" s="13" t="inlineStr">
        <is>
          <t>P1-14</t>
        </is>
      </c>
      <c r="C242" s="6" t="inlineStr">
        <is>
          <t>Admin 內容安全頁：審核事件只按類別統計</t>
        </is>
      </c>
      <c r="E242" s="13" t="inlineStr">
        <is>
          <t>未開始</t>
        </is>
      </c>
      <c r="I242" s="6" t="inlineStr">
        <is>
          <t>新增任務</t>
        </is>
      </c>
    </row>
    <row r="243" ht="74" customHeight="1">
      <c r="A243" s="13" t="inlineStr">
        <is>
          <t>2026-10-14 10:35</t>
        </is>
      </c>
      <c r="B243" s="13" t="inlineStr">
        <is>
          <t>R-10</t>
        </is>
      </c>
      <c r="C243" s="6" t="inlineStr">
        <is>
          <t>出廠流程</t>
        </is>
      </c>
      <c r="D243" s="13" t="inlineStr">
        <is>
          <t>未開始</t>
        </is>
      </c>
      <c r="E243" s="13" t="inlineStr">
        <is>
          <t>未開始</t>
        </is>
      </c>
      <c r="F243" s="13" t="n"/>
      <c r="G243" s="6" t="n"/>
      <c r="H243" s="13" t="n"/>
      <c r="I243" s="6" t="inlineStr">
        <is>
          <t>2026-10-14：後台的 MAC 清單匯入、整批指定公仔、QC 結果查看拆成 R-39，與工位腳本一起試產。；修改了依賴→P0-06, P0-14, R-01, P2-12, Q10, R-34, R-35, R-38, R-39</t>
        </is>
      </c>
    </row>
    <row r="244" ht="60" customHeight="1">
      <c r="A244" s="13" t="inlineStr">
        <is>
          <t>2026-10-14 10:35</t>
        </is>
      </c>
      <c r="B244" s="13" t="inlineStr">
        <is>
          <t>R-11</t>
        </is>
      </c>
      <c r="C244" s="6" t="inlineStr">
        <is>
          <t>售後：客服、保修與換機</t>
        </is>
      </c>
      <c r="D244" s="13" t="inlineStr">
        <is>
          <t>未開始</t>
        </is>
      </c>
      <c r="E244" s="13" t="inlineStr">
        <is>
          <t>未開始</t>
        </is>
      </c>
      <c r="F244" s="13" t="n"/>
      <c r="G244" s="6" t="n"/>
      <c r="H244" s="13" t="n"/>
      <c r="I244" s="6" t="inlineStr">
        <is>
          <t>2026-10-14：admin 端的診斷靠設備頁（P2-14），報修、換機、刪帳號的工具在客服查詢頁（R-40）。；修改了依賴→P2-14, R-40</t>
        </is>
      </c>
    </row>
    <row r="245" ht="102" customHeight="1">
      <c r="A245" s="13" t="inlineStr">
        <is>
          <t>2026-10-14 10:35</t>
        </is>
      </c>
      <c r="B245" s="13" t="inlineStr">
        <is>
          <t>P1-10</t>
        </is>
      </c>
      <c r="C245" s="6" t="inlineStr">
        <is>
          <t>管理操作審計記錄</t>
        </is>
      </c>
      <c r="D245" s="13" t="inlineStr">
        <is>
          <t>未開始</t>
        </is>
      </c>
      <c r="E245" s="13" t="inlineStr">
        <is>
          <t>未開始</t>
        </is>
      </c>
      <c r="F245" s="13" t="n"/>
      <c r="G245" s="6" t="n"/>
      <c r="H245" s="13" t="n"/>
      <c r="I245" s="6" t="inlineStr">
        <is>
          <t>2026-10-14：admin 改側欄後（P2-13），actions.ts 在 frontend-nextjs/app/admin/actions.ts；審計記錄頁的樣子在 preview/AuditPreview.tsx。建議第一個做：設備頁、客服頁、OTA、出廠的每個動作都要寫審計，先有這張表就不用回頭改。</t>
        </is>
      </c>
    </row>
    <row r="246" ht="130" customHeight="1">
      <c r="A246" s="13" t="inlineStr">
        <is>
          <t>2026-10-14 10:35</t>
        </is>
      </c>
      <c r="B246" s="13" t="inlineStr">
        <is>
          <t>P2-09</t>
        </is>
      </c>
      <c r="C246" s="6" t="inlineStr">
        <is>
          <t>每台設備成本監控</t>
        </is>
      </c>
      <c r="D246" s="13" t="inlineStr">
        <is>
          <t>未開始</t>
        </is>
      </c>
      <c r="E246" s="13" t="inlineStr">
        <is>
          <t>未開始</t>
        </is>
      </c>
      <c r="F246" s="13" t="n"/>
      <c r="G246" s="6" t="n"/>
      <c r="H246" s="13" t="n"/>
      <c r="I246" s="6" t="inlineStr">
        <is>
          <t>2026-10-14：turn_metrics 目前只記 user_id 和 chat_group_id，沒有設備，也沒有 STT 秒數（只有 transcript_chars／response_chars），要改語音伺服器補上，並加單價表。頁面樣子在 preview/UsagePreview.tsx。內部測試每週要報每台每月成本（R-07），數據只能從開始記錄那天累積，建議 10/30 前做好。</t>
        </is>
      </c>
    </row>
    <row r="247" ht="46" customHeight="1">
      <c r="A247" s="13" t="inlineStr">
        <is>
          <t>2026-10-14 10:35</t>
        </is>
      </c>
      <c r="B247" s="13" t="inlineStr">
        <is>
          <t>P2-06</t>
        </is>
      </c>
      <c r="C247" s="6" t="inlineStr">
        <is>
          <t>錯誤追蹤與告警</t>
        </is>
      </c>
      <c r="D247" s="13" t="inlineStr">
        <is>
          <t>未開始</t>
        </is>
      </c>
      <c r="E247" s="13" t="inlineStr">
        <is>
          <t>未開始</t>
        </is>
      </c>
      <c r="F247" s="13" t="n"/>
      <c r="G247" s="6" t="n"/>
      <c r="H247" s="13" t="n"/>
      <c r="I247" s="6" t="inlineStr">
        <is>
          <t>2026-10-14：admin 的「系統健康」頁只放摘要和外部監控連結，錯誤追蹤與告警用外部服務，不在後台自己做。</t>
        </is>
      </c>
    </row>
    <row r="248" ht="32" customHeight="1">
      <c r="A248" s="13" t="inlineStr">
        <is>
          <t>2026-10-14 10:35</t>
        </is>
      </c>
      <c r="B248" s="13" t="inlineStr">
        <is>
          <t>P1-01</t>
        </is>
      </c>
      <c r="C248" s="6" t="inlineStr">
        <is>
          <t>加入內容審核層（輸入與輸出）</t>
        </is>
      </c>
      <c r="D248" s="13" t="inlineStr">
        <is>
          <t>未開始</t>
        </is>
      </c>
      <c r="E248" s="13" t="inlineStr">
        <is>
          <t>未開始</t>
        </is>
      </c>
      <c r="F248" s="13" t="n"/>
      <c r="G248" s="6" t="n"/>
      <c r="H248" s="13" t="n"/>
      <c r="I248" s="6" t="inlineStr">
        <is>
          <t>2026-10-14：審核事件的後台頁拆成 P1-14，等本項完成後做。</t>
        </is>
      </c>
    </row>
    <row r="249" ht="32" customHeight="1">
      <c r="A249" s="13" t="inlineStr">
        <is>
          <t>2026-10-14 10:35</t>
        </is>
      </c>
      <c r="B249" s="13" t="inlineStr">
        <is>
          <t>P2-13</t>
        </is>
      </c>
      <c r="C249" s="6" t="inlineStr">
        <is>
          <t>Admin 後台改成分組側欄（新頁面先用示例數據預覽）</t>
        </is>
      </c>
      <c r="D249" s="13" t="inlineStr">
        <is>
          <t>未開始</t>
        </is>
      </c>
      <c r="E249" s="13" t="inlineStr">
        <is>
          <t>進行中</t>
        </is>
      </c>
      <c r="F249" s="13" t="n"/>
      <c r="G249" s="6" t="n"/>
      <c r="H249" s="13" t="n"/>
      <c r="I249" s="6" t="n"/>
    </row>
    <row r="250" ht="74" customHeight="1">
      <c r="A250" s="13" t="inlineStr">
        <is>
          <t>2026-10-14 10:35</t>
        </is>
      </c>
      <c r="B250" s="13" t="inlineStr">
        <is>
          <t>P2-13</t>
        </is>
      </c>
      <c r="C250" s="6" t="inlineStr">
        <is>
          <t>Admin 後台改成分組側欄（新頁面先用示例數據預覽）</t>
        </is>
      </c>
      <c r="D250" s="13" t="inlineStr">
        <is>
          <t>進行中</t>
        </is>
      </c>
      <c r="E250" s="13" t="inlineStr">
        <is>
          <t>進行中</t>
        </is>
      </c>
      <c r="F250" s="13" t="inlineStr">
        <is>
          <t>部分通過</t>
        </is>
      </c>
      <c r="G250" s="6" t="inlineStr">
        <is>
          <t>① tsc --noEmit 通過 ② 略過登入的測試頁（另一份副本、獨立 .next）：超級管理員 15 頁、內容管理員只見 Characters／IPs；1360px 與 375px 均無橫向捲動（scrollWidth=clientWidth=375）；#audit 直接打開正確；③④ 未做：需真實帳號登入 /admin</t>
        </is>
      </c>
      <c r="H250" s="13" t="inlineStr">
        <is>
          <t>77fc4f7</t>
        </is>
      </c>
      <c r="I250" s="6" t="n"/>
    </row>
    <row r="251" ht="32" customHeight="1">
      <c r="A251" s="13" t="inlineStr">
        <is>
          <t>2026-10-14 10:42</t>
        </is>
      </c>
      <c r="B251" s="13" t="inlineStr">
        <is>
          <t>P1-10</t>
        </is>
      </c>
      <c r="C251" s="6" t="inlineStr">
        <is>
          <t>管理操作審計記錄</t>
        </is>
      </c>
      <c r="D251" s="13" t="inlineStr">
        <is>
          <t>未開始</t>
        </is>
      </c>
      <c r="E251" s="13" t="inlineStr">
        <is>
          <t>進行中</t>
        </is>
      </c>
      <c r="F251" s="13" t="n"/>
      <c r="G251" s="6" t="n"/>
      <c r="H251" s="13" t="n"/>
      <c r="I251" s="6" t="n"/>
    </row>
    <row r="252" ht="32" customHeight="1">
      <c r="A252" s="13" t="inlineStr">
        <is>
          <t>2026-10-14 10:42</t>
        </is>
      </c>
      <c r="B252" s="13" t="inlineStr">
        <is>
          <t>P2-09</t>
        </is>
      </c>
      <c r="C252" s="6" t="inlineStr">
        <is>
          <t>每台設備成本監控</t>
        </is>
      </c>
      <c r="D252" s="13" t="inlineStr">
        <is>
          <t>未開始</t>
        </is>
      </c>
      <c r="E252" s="13" t="inlineStr">
        <is>
          <t>進行中</t>
        </is>
      </c>
      <c r="F252" s="13" t="n"/>
      <c r="G252" s="6" t="n"/>
      <c r="H252" s="13" t="n"/>
      <c r="I252" s="6" t="n"/>
    </row>
    <row r="253" ht="172" customHeight="1">
      <c r="A253" s="13" t="inlineStr">
        <is>
          <t>2026-10-14 11:03</t>
        </is>
      </c>
      <c r="B253" s="13" t="inlineStr">
        <is>
          <t>P2-12</t>
        </is>
      </c>
      <c r="C253" s="6" t="inlineStr">
        <is>
          <t>量產燒錄前加大 app 分區</t>
        </is>
      </c>
      <c r="D253" s="13" t="inlineStr">
        <is>
          <t>進行中</t>
        </is>
      </c>
      <c r="E253" s="13" t="inlineStr">
        <is>
          <t>進行中</t>
        </is>
      </c>
      <c r="F253" s="13" t="inlineStr">
        <is>
          <t>部分通過</t>
        </is>
      </c>
      <c r="G253" s="6" t="inlineStr">
        <is>
          <t>62:70（spotpear-ai-toy-p212 原型，現已併入 spotpear-ai-toy）：① 本機 OTA 1.6.1→1.6.2 寫入新 app1，120s 後 confirmed ② 3 秒 abort 的 1.6.3 → PANIC → 回到 1.6.2，ota_failed_version=1.6.3 ③ 崩潰寫入 coredump 14.8KB ④ 資源分區 9 個聲音 504KB/2MB，開機 CRC 63ms，OTA 後照常；損壞/清空 → 退回內建聲音無崩潰 ⑤ pio 全部 18 個 env 編譯通過，映像都在各自 app 槽內（Spotpear 4 個 1.59–1.60MB / 4MB；其他板仍 2MB 槽）；R-21 藍牙探針版 2,326,128 bytes &lt; 4MB ⑥ release_firmware.py 映像 &gt; app 槽即拒發。未做：雲端 OTA 一次（等上 UAT）、出廠腳本寫入資源包（R-10）</t>
        </is>
      </c>
      <c r="H253" s="13" t="inlineStr">
        <is>
          <t>5e9ffce</t>
        </is>
      </c>
      <c r="I253" s="6" t="n"/>
    </row>
    <row r="254" ht="172" customHeight="1">
      <c r="A254" s="13" t="inlineStr">
        <is>
          <t>2026-10-14 11:06</t>
        </is>
      </c>
      <c r="B254" s="13" t="inlineStr">
        <is>
          <t>P1-10</t>
        </is>
      </c>
      <c r="C254" s="6" t="inlineStr">
        <is>
          <t>管理操作審計記錄</t>
        </is>
      </c>
      <c r="D254" s="13" t="inlineStr">
        <is>
          <t>進行中</t>
        </is>
      </c>
      <c r="E254" s="13" t="inlineStr">
        <is>
          <t>進行中</t>
        </is>
      </c>
      <c r="F254" s="13" t="inlineStr">
        <is>
          <t>部分通過</t>
        </is>
      </c>
      <c r="G254" s="6" t="inlineStr">
        <is>
          <t>本機（分支 p1-10-p2-09-audit-usage，migration 已套用到本機 Supabase）：探測腳本 22/22，用 GoTrue 真實登入、只把 42501 當拒絕。① 超管改角色 short_description → 1 筆 update、before/after 只有該欄、actor=該管理員；改 voice_stack → 1 筆含新舊值；不改內容再存 → 0 筆 ② 超管 JWT UPDATE/DELETE → 42501；service role DELETE → 42501；postgres DELETE/TRUNCATE 被觸發器拒絕；內容管理員、家長讀 → []；anon → 42501。網頁實測：IP 加一個活動提示 → 只記 1 筆 ip_modes insert，原樣再存 → 0 筆，清除 → 1 筆 delete；Accounts 建帳號 → account.create（不含密碼）；改匯率 → 1 筆。未做：部署線上。</t>
        </is>
      </c>
      <c r="H254" s="13" t="inlineStr">
        <is>
          <t>e438bab</t>
        </is>
      </c>
      <c r="I254" s="6" t="n"/>
    </row>
    <row r="255" ht="158" customHeight="1">
      <c r="A255" s="13" t="inlineStr">
        <is>
          <t>2026-10-14 11:06</t>
        </is>
      </c>
      <c r="B255" s="13" t="inlineStr">
        <is>
          <t>P2-09</t>
        </is>
      </c>
      <c r="C255" s="6" t="inlineStr">
        <is>
          <t>每台設備成本監控</t>
        </is>
      </c>
      <c r="D255" s="13" t="inlineStr">
        <is>
          <t>進行中</t>
        </is>
      </c>
      <c r="E255" s="13" t="inlineStr">
        <is>
          <t>進行中</t>
        </is>
      </c>
      <c r="F255" s="13" t="inlineStr">
        <is>
          <t>部分通過</t>
        </is>
      </c>
      <c r="G255" s="6" t="inlineStr">
        <is>
          <t>本機：pytest 239 passed（新增 8 項：STT/TTS 用量入行、遲到的用量帶到下一行、session 結束寫 usage 行、設備 ID、同一輪多次 LLM 相加、記憶整理的 token 即使回覆解析失敗也記錄並記到該設備）。模擬板子跑 2 輪（本機語音伺服器 7865）：送 2.24s 音訊 → stt_audio_ms=2242（兩輪皆是）；每輪有 tts_chars、token、device_id；session 結束的記憶整理寫成 memory 行（deepseek-v4-flash 946/10 token）。Usage 頁按設備與日期顯示 HK$，改費率即重算並進審計。未做：抽 10 個 session 與 Azure/MiniMax/OpenRouter 帳單對帳（需用戶提供帳單）、部署線上。</t>
        </is>
      </c>
      <c r="H255" s="13" t="inlineStr">
        <is>
          <t>e438bab</t>
        </is>
      </c>
      <c r="I255" s="6" t="n"/>
    </row>
    <row r="256" ht="102" customHeight="1">
      <c r="A256" s="13" t="inlineStr">
        <is>
          <t>2026-10-14 11:10</t>
        </is>
      </c>
      <c r="B256" s="13" t="inlineStr">
        <is>
          <t>P1-10</t>
        </is>
      </c>
      <c r="C256" s="6" t="inlineStr">
        <is>
          <t>管理操作審計記錄</t>
        </is>
      </c>
      <c r="D256" s="13" t="inlineStr">
        <is>
          <t>進行中</t>
        </is>
      </c>
      <c r="E256" s="13" t="inlineStr">
        <is>
          <t>進行中</t>
        </is>
      </c>
      <c r="F256" s="13" t="n"/>
      <c r="G256" s="6" t="n"/>
      <c r="H256" s="13" t="inlineStr">
        <is>
          <t>8e3b2c5</t>
        </is>
      </c>
      <c r="I256" s="6" t="inlineStr">
        <is>
          <t>2026-10-14：已合併進 dev（rebase 後 commit 8e3b2c5，原 e438bab）。部署用 docs/deploy/release-2026-10-14-audit-usage.sh：先套兩個 migration，再換語音伺服器和網頁映像；第 5 步自動檢查，第 6 步在跟已綁定的玩具對話後確認用量行。</t>
        </is>
      </c>
    </row>
    <row r="257" ht="102" customHeight="1">
      <c r="A257" s="13" t="inlineStr">
        <is>
          <t>2026-10-14 11:10</t>
        </is>
      </c>
      <c r="B257" s="13" t="inlineStr">
        <is>
          <t>P2-09</t>
        </is>
      </c>
      <c r="C257" s="6" t="inlineStr">
        <is>
          <t>每台設備成本監控</t>
        </is>
      </c>
      <c r="D257" s="13" t="inlineStr">
        <is>
          <t>進行中</t>
        </is>
      </c>
      <c r="E257" s="13" t="inlineStr">
        <is>
          <t>進行中</t>
        </is>
      </c>
      <c r="F257" s="13" t="n"/>
      <c r="G257" s="6" t="n"/>
      <c r="H257" s="13" t="inlineStr">
        <is>
          <t>8e3b2c5</t>
        </is>
      </c>
      <c r="I257" s="6" t="inlineStr">
        <is>
          <t>2026-10-14：已合併進 dev（rebase 後 commit 8e3b2c5，原 e438bab）。部署用 docs/deploy/release-2026-10-14-audit-usage.sh：先套兩個 migration，再換語音伺服器和網頁映像；第 5 步自動檢查，第 6 步在跟已綁定的玩具對話後確認用量行。</t>
        </is>
      </c>
    </row>
    <row r="258" ht="116" customHeight="1">
      <c r="A258" s="13" t="inlineStr">
        <is>
          <t>2026-10-14 11:20</t>
        </is>
      </c>
      <c r="B258" s="13" t="inlineStr">
        <is>
          <t>R-13</t>
        </is>
      </c>
      <c r="C258" s="6" t="inlineStr">
        <is>
          <t>CP1 內測就緒檢查（10/30）</t>
        </is>
      </c>
      <c r="D258" s="13" t="inlineStr">
        <is>
          <t>未開始</t>
        </is>
      </c>
      <c r="E258" s="13" t="inlineStr">
        <is>
          <t>未開始</t>
        </is>
      </c>
      <c r="F258" s="13" t="n"/>
      <c r="G258" s="6" t="n"/>
      <c r="H258" s="13" t="n"/>
      <c r="I258" s="6" t="inlineStr">
        <is>
          <t>2026-10-14 用戶決定：移除 P1-09（家長鎖）。品牌 C 已延到 1/15 之後，P1-09 阻塞，留在依賴裡 CP1 永遠過不了。；修改了依賴→P0-02, P0-03, P0-04, P0-05, P0-06, P0-07, P0-08, P0-09, P0-10, P0-11, P0-12, P0-13, P1-01, P1-02, P2-09, R-01, R-02, R-04, R-05, R-06, P0-15, P0-16, P1-11</t>
        </is>
      </c>
    </row>
    <row r="259" ht="32" customHeight="1">
      <c r="A259" s="13" t="inlineStr">
        <is>
          <t>2026-10-14 11:20</t>
        </is>
      </c>
      <c r="B259" s="13" t="inlineStr">
        <is>
          <t>P1-02</t>
        </is>
      </c>
      <c r="C259" s="6" t="inlineStr">
        <is>
          <t>日誌移除兒童個人資料</t>
        </is>
      </c>
      <c r="D259" s="13" t="inlineStr">
        <is>
          <t>未開始</t>
        </is>
      </c>
      <c r="E259" s="13" t="inlineStr">
        <is>
          <t>進行中</t>
        </is>
      </c>
      <c r="F259" s="13" t="n"/>
      <c r="G259" s="6" t="n"/>
      <c r="H259" s="13" t="n"/>
      <c r="I259" s="6" t="n"/>
    </row>
    <row r="260" ht="130" customHeight="1">
      <c r="A260" s="13" t="inlineStr">
        <is>
          <t>2026-10-14 11:28</t>
        </is>
      </c>
      <c r="B260" s="13" t="inlineStr">
        <is>
          <t>P1-02</t>
        </is>
      </c>
      <c r="C260" s="6" t="inlineStr">
        <is>
          <t>日誌移除兒童個人資料</t>
        </is>
      </c>
      <c r="D260" s="13" t="inlineStr">
        <is>
          <t>進行中</t>
        </is>
      </c>
      <c r="E260" s="13" t="inlineStr">
        <is>
          <t>進行中</t>
        </is>
      </c>
      <c r="F260" s="13" t="inlineStr">
        <is>
          <t>部分通過</t>
        </is>
      </c>
      <c r="G260" s="6" t="inlineStr">
        <is>
          <t>本機（分支 p1-02-log-pii）：模擬板子跑 3 輪，孩子名 PROBE小明、性格『鍾意恐龍』、記憶『佢有隻狗叫PROBE豆豆』；把對話、回覆、事實切成 47 段搜日誌 → 預設 INFO 0 段；同一流程 LOG_LEVEL=DEBUG → 27 段（證明搜尋有效）。INFO 日誌也無 token。pytest 245 passed（新增 test_log_privacy 6 項：事實/摘要、PostgREST details、OpenRouter flagged_input、非 JSON 回覆、預設 INFO 與 traceback 無變量值）。未做：部署線上並在生產日誌重跑。</t>
        </is>
      </c>
      <c r="H260" s="13" t="inlineStr">
        <is>
          <t>4214b99</t>
        </is>
      </c>
      <c r="I260" s="6" t="n"/>
    </row>
    <row r="261" ht="32" customHeight="1">
      <c r="A261" s="13" t="inlineStr">
        <is>
          <t>2026-10-14 11:38</t>
        </is>
      </c>
      <c r="B261" s="13" t="inlineStr">
        <is>
          <t>P1-01</t>
        </is>
      </c>
      <c r="C261" s="6" t="inlineStr">
        <is>
          <t>加入內容審核層（輸入與輸出）</t>
        </is>
      </c>
      <c r="D261" s="13" t="inlineStr">
        <is>
          <t>未開始</t>
        </is>
      </c>
      <c r="E261" s="13" t="inlineStr">
        <is>
          <t>進行中</t>
        </is>
      </c>
      <c r="F261" s="13" t="n"/>
      <c r="G261" s="6" t="n"/>
      <c r="H261" s="13" t="n"/>
      <c r="I261" s="6" t="n"/>
    </row>
    <row r="262" ht="88" customHeight="1">
      <c r="A262" s="13" t="inlineStr">
        <is>
          <t>2026-10-14 11:47</t>
        </is>
      </c>
      <c r="B262" s="13" t="inlineStr">
        <is>
          <t>P1-01</t>
        </is>
      </c>
      <c r="C262" s="6" t="inlineStr">
        <is>
          <t>加入內容審核層（輸入與輸出）</t>
        </is>
      </c>
      <c r="D262" s="13" t="inlineStr">
        <is>
          <t>進行中</t>
        </is>
      </c>
      <c r="E262" s="13" t="inlineStr">
        <is>
          <t>阻塞</t>
        </is>
      </c>
      <c r="F262" s="13" t="n"/>
      <c r="G262" s="6" t="n"/>
      <c r="H262" s="13" t="n"/>
      <c r="I262" s="6" t="inlineStr">
        <is>
          <t>2026-10-14 用戶決定：先不定審核服務商，本項暫停。候選：Azure Content Safety（建議，香港區、可在每句回覆說出口前檢查）、OpenRouter 安全模型、OpenAI Moderation、只用本機字詞表。未寫任何程式。</t>
        </is>
      </c>
    </row>
    <row r="263" ht="32" customHeight="1">
      <c r="A263" s="13" t="inlineStr">
        <is>
          <t>2026-10-14 11:50</t>
        </is>
      </c>
      <c r="B263" s="13" t="inlineStr">
        <is>
          <t>P2-14</t>
        </is>
      </c>
      <c r="C263" s="6" t="inlineStr">
        <is>
          <t>Admin 設備頁：每台玩具的狀態、韌體與基本操作</t>
        </is>
      </c>
      <c r="D263" s="13" t="inlineStr">
        <is>
          <t>未開始</t>
        </is>
      </c>
      <c r="E263" s="13" t="inlineStr">
        <is>
          <t>進行中</t>
        </is>
      </c>
      <c r="F263" s="13" t="n"/>
      <c r="G263" s="6" t="n"/>
      <c r="H263" s="13" t="n"/>
      <c r="I263" s="6" t="n"/>
    </row>
    <row r="264" ht="186" customHeight="1">
      <c r="A264" s="13" t="inlineStr">
        <is>
          <t>2026-10-14 12:03</t>
        </is>
      </c>
      <c r="B264" s="13" t="inlineStr">
        <is>
          <t>P2-14</t>
        </is>
      </c>
      <c r="C264" s="6" t="inlineStr">
        <is>
          <t>Admin 設備頁：每台玩具的狀態、韌體與基本操作</t>
        </is>
      </c>
      <c r="D264" s="13" t="inlineStr">
        <is>
          <t>進行中</t>
        </is>
      </c>
      <c r="E264" s="13" t="inlineStr">
        <is>
          <t>進行中</t>
        </is>
      </c>
      <c r="F264" s="13" t="inlineStr">
        <is>
          <t>部分通過</t>
        </is>
      </c>
      <c r="G264" s="6" t="inlineStr">
        <is>
          <t>本機（未 commit）：migration 20261014140000 套用兩次無錯。探測腳本用 GoTrue 真實登入：超管 admin_list_devices 200（不含 user_code）；④ 內容管理員 → 42501、anon → 42501；超管直接讀 device_secrets → 42501；空原因 → 22023；重置密鑰 → device_secrets 行刪除；解綁 → user_id/claimed_at 清空；兩者各寫 1 筆含原因與前後值的審計，超管改審計 → 403。網頁（獨立副本+獨立語音伺服器 7871）：模擬 62:70 連上 → 15 秒內不刷新顯示 Online、-52 dBm；斷線後下一次輪詢變 Offline；按 f214 搜尋、強制解綁、重置密鑰、審計頁都看到兩筆；375px 無橫向捲動。pytest 71 passed。未做：① ② ③ 需真板 62:70，且要用新代碼重啟 7860 語音伺服器</t>
        </is>
      </c>
      <c r="H264" s="13" t="n"/>
      <c r="I264" s="6" t="inlineStr">
        <is>
          <t>devices.ip_key 未有（R-38），IP 欄暫顯示「未鎖定」。部署要三件一起：migration、語音伺服器（/internal/devices_presence）、網頁。在線只代表有語音連線，睡眠和關機都算離線。</t>
        </is>
      </c>
    </row>
    <row r="265" ht="32" customHeight="1">
      <c r="A265" s="13" t="inlineStr">
        <is>
          <t>2026-10-14 12:10</t>
        </is>
      </c>
      <c r="B265" s="13" t="inlineStr">
        <is>
          <t>R-41</t>
        </is>
      </c>
      <c r="C265" s="6" t="inlineStr">
        <is>
          <t>App 顯示玩具電量狀態（低電量提示）</t>
        </is>
      </c>
      <c r="E265" s="13" t="inlineStr">
        <is>
          <t>未開始</t>
        </is>
      </c>
      <c r="I265" s="6" t="inlineStr">
        <is>
          <t>新增任務</t>
        </is>
      </c>
    </row>
    <row r="266" ht="32" customHeight="1">
      <c r="A266" s="13" t="inlineStr">
        <is>
          <t>2026-10-14 12:10</t>
        </is>
      </c>
      <c r="B266" s="13" t="inlineStr">
        <is>
          <t>R-41</t>
        </is>
      </c>
      <c r="C266" s="6" t="inlineStr">
        <is>
          <t>App 顯示玩具電量狀態（低電量提示）</t>
        </is>
      </c>
      <c r="D266" s="13" t="inlineStr">
        <is>
          <t>未開始</t>
        </is>
      </c>
      <c r="E266" s="13" t="inlineStr">
        <is>
          <t>進行中</t>
        </is>
      </c>
      <c r="F266" s="13" t="n"/>
      <c r="G266" s="6" t="n"/>
      <c r="H266" s="13" t="n"/>
      <c r="I266" s="6" t="n"/>
    </row>
    <row r="267" ht="144" customHeight="1">
      <c r="A267" s="13" t="inlineStr">
        <is>
          <t>2026-10-14 12:10</t>
        </is>
      </c>
      <c r="B267" s="13" t="inlineStr">
        <is>
          <t>R-16</t>
        </is>
      </c>
      <c r="C267" s="6" t="inlineStr">
        <is>
          <t>Spotpear 量產版加電池電壓檢測（GPIO0 分壓）</t>
        </is>
      </c>
      <c r="D267" s="13" t="inlineStr">
        <is>
          <t>阻塞</t>
        </is>
      </c>
      <c r="E267" s="13" t="inlineStr">
        <is>
          <t>未開始</t>
        </is>
      </c>
      <c r="F267" s="13" t="n"/>
      <c r="G267" s="6" t="n"/>
      <c r="H267" s="13" t="n"/>
      <c r="I267" s="6" t="inlineStr">
        <is>
          <t>2026-10-14：用戶決定 App 要顯示電量，恢復本任務（方案 B），與 R-41（方案 A：先顯示高低兩態）並行。改用 GPIO1：GPIO0 已被 SupplyMonitor 的 VDD 檢測佔用（標題仍寫 GPIO0，以驗收標準為準）。R-41 的上報協議已預留 percent / charging，改板後只需改固件的 Battery 設定。量產板訂單是關鍵路徑，要盡快向 Spotpear 提出。；修改了驗收標準</t>
        </is>
      </c>
    </row>
    <row r="268" ht="116" customHeight="1">
      <c r="A268" s="13" t="inlineStr">
        <is>
          <t>2026-10-14 15:24</t>
        </is>
      </c>
      <c r="B268" s="13" t="inlineStr">
        <is>
          <t>R-41</t>
        </is>
      </c>
      <c r="C268" s="6" t="inlineStr">
        <is>
          <t>App 顯示玩具電量狀態（低電量提示）</t>
        </is>
      </c>
      <c r="D268" s="13" t="inlineStr">
        <is>
          <t>進行中</t>
        </is>
      </c>
      <c r="E268" s="13" t="inlineStr">
        <is>
          <t>進行中</t>
        </is>
      </c>
      <c r="F268" s="13" t="inlineStr">
        <is>
          <t>部分通過</t>
        </is>
      </c>
      <c r="G268" s="6" t="inlineStr">
        <is>
          <t>① pytest test_device_power+test_device_wifi 33 passed；device_power.write() 真 PATCH 本地 Supabase → 62:70 行 battery_low=t ④ App（手機尺寸）低電：列表紅色 Low battery、設定頁 Low · Please charge + 更新時間；72% 充電中顯示 Charging · 72%；全空不顯示 Battery 行 ⑤ 他人帳號讀 0 行、authenticated UPDATE 被拒。固件 spotpear/xmini-c3/S3 編譯通過。未做：②③ 62:70 真機（強制低電 build）</t>
        </is>
      </c>
      <c r="H268" s="13" t="inlineStr">
        <is>
          <t>db30823</t>
        </is>
      </c>
      <c r="I268" s="6" t="n"/>
    </row>
    <row r="269" ht="116" customHeight="1">
      <c r="A269" s="13" t="inlineStr">
        <is>
          <t>2026-10-14 15:40</t>
        </is>
      </c>
      <c r="B269" s="13" t="inlineStr">
        <is>
          <t>R-41</t>
        </is>
      </c>
      <c r="C269" s="6" t="inlineStr">
        <is>
          <t>App 顯示玩具電量狀態（低電量提示）</t>
        </is>
      </c>
      <c r="D269" s="13" t="inlineStr">
        <is>
          <t>進行中</t>
        </is>
      </c>
      <c r="E269" s="13" t="inlineStr">
        <is>
          <t>已完成</t>
        </is>
      </c>
      <c r="F269" s="13" t="inlineStr">
        <is>
          <t>通過</t>
        </is>
      </c>
      <c r="G269" s="6" t="inlineStr">
        <is>
          <t>① pytest 33 passed；真 PATCH 本地 Supabase ② 62:70 刷 p212+R-41 強制低電 build（SUPPLY_LOW_RATIO_OVERRIDE=1.05）→ 串口 [WSc] power low:true，本地 DB battery_low=t ③ 刷回正常 1.6.2 → low:false，DB=f ④ App 讀 DB：低電紅標+Please charge+更新時間、72% 充電中、未上報不顯示 ⑤ 他人帳號 0 行、authenticated UPDATE 被拒。62:70 已還原為原 p212 build</t>
        </is>
      </c>
      <c r="H269" s="13" t="inlineStr">
        <is>
          <t>db30823</t>
        </is>
      </c>
      <c r="I269" s="6" t="n"/>
    </row>
    <row r="270" ht="74" customHeight="1">
      <c r="A270" s="13" t="inlineStr">
        <is>
          <t>2026-10-14 15:50</t>
        </is>
      </c>
      <c r="B270" s="13" t="inlineStr">
        <is>
          <t>R-41</t>
        </is>
      </c>
      <c r="C270" s="6" t="inlineStr">
        <is>
          <t>App 顯示玩具電量狀態（低電量提示）</t>
        </is>
      </c>
      <c r="D270" s="13" t="inlineStr">
        <is>
          <t>已完成</t>
        </is>
      </c>
      <c r="E270" s="13" t="inlineStr">
        <is>
          <t>已完成</t>
        </is>
      </c>
      <c r="F270" s="13" t="n"/>
      <c r="G270" s="6" t="n"/>
      <c r="H270" s="13" t="inlineStr">
        <is>
          <t>42b4437</t>
        </is>
      </c>
      <c r="I270" s="6" t="inlineStr">
        <is>
          <t>2026-10-14：rebase 後合併入 dev（42b4437）。migration 改名 20261014153000_device_battery.sql，避開同時間戳的 admin_accounts；powerSent 重置改到收到 auth 時。未部署。</t>
        </is>
      </c>
    </row>
    <row r="271" ht="32" customHeight="1">
      <c r="A271" s="13" t="inlineStr">
        <is>
          <t>2026-10-14 20:27</t>
        </is>
      </c>
      <c r="B271" s="13" t="inlineStr">
        <is>
          <t>P2-17</t>
        </is>
      </c>
      <c r="C271" s="6" t="inlineStr">
        <is>
          <t>P2-16 ① 分批推送的數據表：推送階段、白名單、每台安裝結果</t>
        </is>
      </c>
      <c r="E271" s="13" t="inlineStr">
        <is>
          <t>未開始</t>
        </is>
      </c>
      <c r="I271" s="6" t="inlineStr">
        <is>
          <t>新增任務</t>
        </is>
      </c>
    </row>
    <row r="272" ht="32" customHeight="1">
      <c r="A272" s="13" t="inlineStr">
        <is>
          <t>2026-10-14 20:27</t>
        </is>
      </c>
      <c r="B272" s="13" t="inlineStr">
        <is>
          <t>P2-18</t>
        </is>
      </c>
      <c r="C272" s="6" t="inlineStr">
        <is>
          <t>P2-16 ② 按 MAC 雜湊穩定分組決定哪台收到 ota</t>
        </is>
      </c>
      <c r="E272" s="13" t="inlineStr">
        <is>
          <t>未開始</t>
        </is>
      </c>
      <c r="I272" s="6" t="inlineStr">
        <is>
          <t>新增任務</t>
        </is>
      </c>
    </row>
    <row r="273" ht="32" customHeight="1">
      <c r="A273" s="13" t="inlineStr">
        <is>
          <t>2026-10-14 20:27</t>
        </is>
      </c>
      <c r="B273" s="13" t="inlineStr">
        <is>
          <t>P2-19</t>
        </is>
      </c>
      <c r="C273" s="6" t="inlineStr">
        <is>
          <t>P2-16 ③ 回滾過多時自動暫停推送</t>
        </is>
      </c>
      <c r="E273" s="13" t="inlineStr">
        <is>
          <t>未開始</t>
        </is>
      </c>
      <c r="I273" s="6" t="inlineStr">
        <is>
          <t>新增任務</t>
        </is>
      </c>
    </row>
    <row r="274" ht="32" customHeight="1">
      <c r="A274" s="13" t="inlineStr">
        <is>
          <t>2026-10-14 20:27</t>
        </is>
      </c>
      <c r="B274" s="13" t="inlineStr">
        <is>
          <t>P2-20</t>
        </is>
      </c>
      <c r="C274" s="6" t="inlineStr">
        <is>
          <t>P2-16 ④ 從後台上傳與發佈韌體（取代手貼 service key）</t>
        </is>
      </c>
      <c r="E274" s="13" t="inlineStr">
        <is>
          <t>未開始</t>
        </is>
      </c>
      <c r="I274" s="6" t="inlineStr">
        <is>
          <t>新增任務</t>
        </is>
      </c>
    </row>
    <row r="275" ht="32" customHeight="1">
      <c r="A275" s="13" t="inlineStr">
        <is>
          <t>2026-10-14 20:27</t>
        </is>
      </c>
      <c r="B275" s="13" t="inlineStr">
        <is>
          <t>P2-21</t>
        </is>
      </c>
      <c r="C275" s="6" t="inlineStr">
        <is>
          <t>P2-16 ⑤ 後台 OTA 頁換成真實數據與操作</t>
        </is>
      </c>
      <c r="E275" s="13" t="inlineStr">
        <is>
          <t>未開始</t>
        </is>
      </c>
      <c r="I275" s="6" t="inlineStr">
        <is>
          <t>新增任務</t>
        </is>
      </c>
    </row>
    <row r="276" ht="102" customHeight="1">
      <c r="A276" s="13" t="inlineStr">
        <is>
          <t>2026-10-14 20:27</t>
        </is>
      </c>
      <c r="B276" s="13" t="inlineStr">
        <is>
          <t>P2-16</t>
        </is>
      </c>
      <c r="C276" s="6" t="inlineStr">
        <is>
          <t>OTA 分批推送與後台發佈頁</t>
        </is>
      </c>
      <c r="D276" s="13" t="inlineStr">
        <is>
          <t>未開始</t>
        </is>
      </c>
      <c r="E276" s="13" t="inlineStr">
        <is>
          <t>未開始</t>
        </is>
      </c>
      <c r="F276" s="13" t="n"/>
      <c r="G276" s="6" t="n"/>
      <c r="H276" s="13" t="n"/>
      <c r="I276" s="6" t="inlineStr">
        <is>
          <t>2026-10-14 開分支 p2-16-ota-rollout（worktree ../aibuddy-p216，從 dev cac98aa）；拆成 P2-17～P2-21 五項子任務，本項的測試方法即整體驗收（含 62:70 實機白名單）。；修改了依賴→P0-13, P2-14, P1-10, P2-17, P2-18, P2-19, P2-20, P2-21</t>
        </is>
      </c>
    </row>
    <row r="277" ht="32" customHeight="1">
      <c r="A277" s="13" t="inlineStr">
        <is>
          <t>2026-10-14 20:27</t>
        </is>
      </c>
      <c r="B277" s="13" t="inlineStr">
        <is>
          <t>P2-16</t>
        </is>
      </c>
      <c r="C277" s="6" t="inlineStr">
        <is>
          <t>OTA 分批推送與後台發佈頁</t>
        </is>
      </c>
      <c r="D277" s="13" t="inlineStr">
        <is>
          <t>未開始</t>
        </is>
      </c>
      <c r="E277" s="13" t="inlineStr">
        <is>
          <t>進行中</t>
        </is>
      </c>
      <c r="F277" s="13" t="n"/>
      <c r="G277" s="6" t="n"/>
      <c r="H277" s="13" t="n"/>
      <c r="I277" s="6" t="n"/>
    </row>
    <row r="278" ht="32" customHeight="1">
      <c r="A278" s="13" t="inlineStr">
        <is>
          <t>2026-10-14 20:41</t>
        </is>
      </c>
      <c r="B278" s="13" t="inlineStr">
        <is>
          <t>P2-16</t>
        </is>
      </c>
      <c r="C278" s="6" t="inlineStr">
        <is>
          <t>OTA 分批推送與後台發佈頁</t>
        </is>
      </c>
      <c r="D278" s="13" t="inlineStr">
        <is>
          <t>進行中</t>
        </is>
      </c>
      <c r="E278" s="13" t="inlineStr">
        <is>
          <t>進行中</t>
        </is>
      </c>
      <c r="F278" s="13" t="n"/>
      <c r="G278" s="6" t="n"/>
      <c r="H278" s="13" t="n"/>
      <c r="I278" s="6" t="inlineStr">
        <is>
          <t>2026-10-14 用戶決定提前到第 2 階段，現在開始做；修改了階段→2 內測準備</t>
        </is>
      </c>
    </row>
    <row r="279" ht="32" customHeight="1">
      <c r="A279" s="13" t="inlineStr">
        <is>
          <t>2026-10-14 20:41</t>
        </is>
      </c>
      <c r="B279" s="13" t="inlineStr">
        <is>
          <t>P2-17</t>
        </is>
      </c>
      <c r="C279" s="6" t="inlineStr">
        <is>
          <t>P2-16 ① 分批推送的數據表：推送階段、白名單、每台安裝結果</t>
        </is>
      </c>
      <c r="D279" s="13" t="inlineStr">
        <is>
          <t>未開始</t>
        </is>
      </c>
      <c r="E279" s="13" t="inlineStr">
        <is>
          <t>未開始</t>
        </is>
      </c>
      <c r="F279" s="13" t="n"/>
      <c r="G279" s="6" t="n"/>
      <c r="H279" s="13" t="n"/>
      <c r="I279" s="6" t="inlineStr">
        <is>
          <t>2026-10-14 用戶決定提前到第 2 階段，現在開始做；修改了階段→2 內測準備</t>
        </is>
      </c>
    </row>
    <row r="280" ht="32" customHeight="1">
      <c r="A280" s="13" t="inlineStr">
        <is>
          <t>2026-10-14 20:41</t>
        </is>
      </c>
      <c r="B280" s="13" t="inlineStr">
        <is>
          <t>P2-18</t>
        </is>
      </c>
      <c r="C280" s="6" t="inlineStr">
        <is>
          <t>P2-16 ② 按 MAC 雜湊穩定分組決定哪台收到 ota</t>
        </is>
      </c>
      <c r="D280" s="13" t="inlineStr">
        <is>
          <t>未開始</t>
        </is>
      </c>
      <c r="E280" s="13" t="inlineStr">
        <is>
          <t>未開始</t>
        </is>
      </c>
      <c r="F280" s="13" t="n"/>
      <c r="G280" s="6" t="n"/>
      <c r="H280" s="13" t="n"/>
      <c r="I280" s="6" t="inlineStr">
        <is>
          <t>2026-10-14 用戶決定提前到第 2 階段，現在開始做；修改了階段→2 內測準備</t>
        </is>
      </c>
    </row>
    <row r="281" ht="32" customHeight="1">
      <c r="A281" s="13" t="inlineStr">
        <is>
          <t>2026-10-14 20:41</t>
        </is>
      </c>
      <c r="B281" s="13" t="inlineStr">
        <is>
          <t>P2-19</t>
        </is>
      </c>
      <c r="C281" s="6" t="inlineStr">
        <is>
          <t>P2-16 ③ 回滾過多時自動暫停推送</t>
        </is>
      </c>
      <c r="D281" s="13" t="inlineStr">
        <is>
          <t>未開始</t>
        </is>
      </c>
      <c r="E281" s="13" t="inlineStr">
        <is>
          <t>未開始</t>
        </is>
      </c>
      <c r="F281" s="13" t="n"/>
      <c r="G281" s="6" t="n"/>
      <c r="H281" s="13" t="n"/>
      <c r="I281" s="6" t="inlineStr">
        <is>
          <t>2026-10-14 用戶決定提前到第 2 階段，現在開始做；修改了階段→2 內測準備</t>
        </is>
      </c>
    </row>
    <row r="282" ht="32" customHeight="1">
      <c r="A282" s="13" t="inlineStr">
        <is>
          <t>2026-10-14 20:41</t>
        </is>
      </c>
      <c r="B282" s="13" t="inlineStr">
        <is>
          <t>P2-20</t>
        </is>
      </c>
      <c r="C282" s="6" t="inlineStr">
        <is>
          <t>P2-16 ④ 從後台上傳與發佈韌體（取代手貼 service key）</t>
        </is>
      </c>
      <c r="D282" s="13" t="inlineStr">
        <is>
          <t>未開始</t>
        </is>
      </c>
      <c r="E282" s="13" t="inlineStr">
        <is>
          <t>未開始</t>
        </is>
      </c>
      <c r="F282" s="13" t="n"/>
      <c r="G282" s="6" t="n"/>
      <c r="H282" s="13" t="n"/>
      <c r="I282" s="6" t="inlineStr">
        <is>
          <t>2026-10-14 用戶決定提前到第 2 階段，現在開始做；修改了階段→2 內測準備</t>
        </is>
      </c>
    </row>
    <row r="283" ht="32" customHeight="1">
      <c r="A283" s="13" t="inlineStr">
        <is>
          <t>2026-10-14 20:41</t>
        </is>
      </c>
      <c r="B283" s="13" t="inlineStr">
        <is>
          <t>P2-21</t>
        </is>
      </c>
      <c r="C283" s="6" t="inlineStr">
        <is>
          <t>P2-16 ⑤ 後台 OTA 頁換成真實數據與操作</t>
        </is>
      </c>
      <c r="D283" s="13" t="inlineStr">
        <is>
          <t>未開始</t>
        </is>
      </c>
      <c r="E283" s="13" t="inlineStr">
        <is>
          <t>未開始</t>
        </is>
      </c>
      <c r="F283" s="13" t="n"/>
      <c r="G283" s="6" t="n"/>
      <c r="H283" s="13" t="n"/>
      <c r="I283" s="6" t="inlineStr">
        <is>
          <t>2026-10-14 用戶決定提前到第 2 階段，現在開始做；修改了階段→2 內測準備</t>
        </is>
      </c>
    </row>
    <row r="284" ht="32" customHeight="1">
      <c r="A284" s="13" t="inlineStr">
        <is>
          <t>2026-10-14 20:41</t>
        </is>
      </c>
      <c r="B284" s="13" t="inlineStr">
        <is>
          <t>P2-17</t>
        </is>
      </c>
      <c r="C284" s="6" t="inlineStr">
        <is>
          <t>P2-16 ① 分批推送的數據表：推送階段、白名單、每台安裝結果</t>
        </is>
      </c>
      <c r="D284" s="13" t="inlineStr">
        <is>
          <t>未開始</t>
        </is>
      </c>
      <c r="E284" s="13" t="inlineStr">
        <is>
          <t>進行中</t>
        </is>
      </c>
      <c r="F284" s="13" t="n"/>
      <c r="G284" s="6" t="n"/>
      <c r="H284" s="13" t="n"/>
      <c r="I284" s="6" t="n"/>
    </row>
    <row r="285" ht="60" customHeight="1">
      <c r="A285" s="13" t="inlineStr">
        <is>
          <t>2026-10-14 20:45</t>
        </is>
      </c>
      <c r="B285" s="13" t="inlineStr">
        <is>
          <t>P2-17</t>
        </is>
      </c>
      <c r="C285" s="6" t="inlineStr">
        <is>
          <t>P2-16 ① 分批推送的數據表：推送階段、白名單、每台安裝結果</t>
        </is>
      </c>
      <c r="D285" s="13" t="inlineStr">
        <is>
          <t>進行中</t>
        </is>
      </c>
      <c r="E285" s="13" t="inlineStr">
        <is>
          <t>進行中</t>
        </is>
      </c>
      <c r="F285" s="13" t="n"/>
      <c r="G285" s="6" t="n"/>
      <c r="H285" s="13" t="n"/>
      <c r="I285" s="6" t="inlineStr">
        <is>
          <t>測試方法修正：內容管理員讀取在 RLS 下是 200 + 0 行而非 42501，保護效果相同（看不到任何行），寫入一律 42501；修改了測試方法</t>
        </is>
      </c>
    </row>
    <row r="286" ht="158" customHeight="1">
      <c r="A286" s="13" t="inlineStr">
        <is>
          <t>2026-10-14 20:45</t>
        </is>
      </c>
      <c r="B286" s="13" t="inlineStr">
        <is>
          <t>P2-17</t>
        </is>
      </c>
      <c r="C286" s="6" t="inlineStr">
        <is>
          <t>P2-16 ① 分批推送的數據表：推送階段、白名單、每台安裝結果</t>
        </is>
      </c>
      <c r="D286" s="13" t="inlineStr">
        <is>
          <t>進行中</t>
        </is>
      </c>
      <c r="E286" s="13" t="inlineStr">
        <is>
          <t>已完成</t>
        </is>
      </c>
      <c r="F286" s="13" t="inlineStr">
        <is>
          <t>通過</t>
        </is>
      </c>
      <c r="G286" s="6" t="inlineStr">
        <is>
          <t>migration 20261014190000 BEGIN/ROLLBACK 套用兩次無錯並已套用本機；行為：預設 100%、promote 記 stage_changed_at，7 種壞值（25%、小寫/空字串/NULL MAC、暫停缺原因等）全被 check 擋；ota_note_offer 1→2→3，report 正確標 running/failed、別板型不影響，刪發佈連帶刪記錄；審計 5 筆含 'test-board 9.9.9' 標籤。REST 13/13：超管可讀、內容管理員 0 行、anon 42501，三種身份寫入/改階段/呼叫 ota_note_offer 皆 42501。release_firmware.py promote spotpear-ai-toy 1.6.2 成功，token 查詢仍選 1.6.2，審計記 2 筆（actor 空＝service role）</t>
        </is>
      </c>
      <c r="H286" s="13" t="inlineStr">
        <is>
          <t>9f44e32</t>
        </is>
      </c>
      <c r="I286" s="6" t="n"/>
    </row>
    <row r="287" ht="46" customHeight="1">
      <c r="A287" s="13" t="inlineStr">
        <is>
          <t>2026-10-14 20:45</t>
        </is>
      </c>
      <c r="B287" s="13" t="inlineStr">
        <is>
          <t>P2-17</t>
        </is>
      </c>
      <c r="C287" s="6" t="inlineStr">
        <is>
          <t>P2-16 ① 分批推送的數據表：推送階段、白名單、每台安裝結果</t>
        </is>
      </c>
      <c r="D287" s="13" t="inlineStr">
        <is>
          <t>已完成</t>
        </is>
      </c>
      <c r="E287" s="13" t="inlineStr">
        <is>
          <t>已完成</t>
        </is>
      </c>
      <c r="F287" s="13" t="n"/>
      <c r="G287" s="6" t="n"/>
      <c r="H287" s="13" t="inlineStr">
        <is>
          <t>8675970</t>
        </is>
      </c>
      <c r="I287" s="6" t="inlineStr">
        <is>
          <t>commit 在分支 p2-16-ota-rollout（rebase 後 9f44e32 → 8675970），未合併到 dev、未部署</t>
        </is>
      </c>
    </row>
    <row r="288" ht="32" customHeight="1">
      <c r="A288" s="13" t="inlineStr">
        <is>
          <t>2026-10-14 20:46</t>
        </is>
      </c>
      <c r="B288" s="13" t="inlineStr">
        <is>
          <t>P2-18</t>
        </is>
      </c>
      <c r="C288" s="6" t="inlineStr">
        <is>
          <t>P2-16 ② 按 MAC 雜湊穩定分組決定哪台收到 ota</t>
        </is>
      </c>
      <c r="D288" s="13" t="inlineStr">
        <is>
          <t>未開始</t>
        </is>
      </c>
      <c r="E288" s="13" t="inlineStr">
        <is>
          <t>進行中</t>
        </is>
      </c>
      <c r="F288" s="13" t="n"/>
      <c r="G288" s="6" t="n"/>
      <c r="H288" s="13" t="n"/>
      <c r="I288" s="6" t="n"/>
    </row>
    <row r="289" ht="60" customHeight="1">
      <c r="A289" s="13" t="inlineStr">
        <is>
          <t>2026-10-14 20:50</t>
        </is>
      </c>
      <c r="B289" s="13" t="inlineStr">
        <is>
          <t>P2-17</t>
        </is>
      </c>
      <c r="C289" s="6" t="inlineStr">
        <is>
          <t>P2-16 ① 分批推送的數據表：推送階段、白名單、每台安裝結果</t>
        </is>
      </c>
      <c r="D289" s="13" t="inlineStr">
        <is>
          <t>已完成</t>
        </is>
      </c>
      <c r="E289" s="13" t="inlineStr">
        <is>
          <t>已完成</t>
        </is>
      </c>
      <c r="F289" s="13" t="n"/>
      <c r="G289" s="6" t="n"/>
      <c r="H289" s="13" t="inlineStr">
        <is>
          <t>c510e02</t>
        </is>
      </c>
      <c r="I289" s="6" t="inlineStr">
        <is>
          <t>commit 再次 rebase 後為 c510e02（分支 p2-16-ota-rollout）。之後分支不再為追蹤表 commit rebase，hash 到合併時才會變</t>
        </is>
      </c>
    </row>
    <row r="290" ht="186" customHeight="1">
      <c r="A290" s="13" t="inlineStr">
        <is>
          <t>2026-10-14 20:50</t>
        </is>
      </c>
      <c r="B290" s="13" t="inlineStr">
        <is>
          <t>P2-18</t>
        </is>
      </c>
      <c r="C290" s="6" t="inlineStr">
        <is>
          <t>P2-16 ② 按 MAC 雜湊穩定分組決定哪台收到 ota</t>
        </is>
      </c>
      <c r="D290" s="13" t="inlineStr">
        <is>
          <t>進行中</t>
        </is>
      </c>
      <c r="E290" s="13" t="inlineStr">
        <is>
          <t>已完成</t>
        </is>
      </c>
      <c r="F290" s="13" t="inlineStr">
        <is>
          <t>通過</t>
        </is>
      </c>
      <c r="G290" s="6" t="inlineStr">
        <is>
          <t>node --test lib/otaRollout.test.mjs 6/6：10,000 隨機 MAC 在 10%/50% 誤差 &lt; 1 個百分點、同 MAC（含大小寫/空白）結果一致、升階段只增不減、白名單各階段都在、不同版本選不同的 10%。tsc --noEmit 通過。分支 dev server（3216）+ 本機 Supabase 模擬 20 台（板型 p218-sim，連跑兩次 9/9）：白名單階段只有 1 台、重複不變；10% 拿到的正是雜湊預測的那組（2–5 台含白名單），重複不變；50% 包含 10% 全部；暫停 → 0 台且下載映像 404，恢復 → 200；100% → 除已更新和已回滾的 2 台外 18 台；每台下發次數與記錄一致；運行中/已回滾正確標記；審計 6 筆對應 6 次變更。真 spotpear-ai-toy（預設 100%）回報 1.6.1 → 仍拿到 1.6.2。測試數據已清除</t>
        </is>
      </c>
      <c r="H290" s="13" t="inlineStr">
        <is>
          <t>e57529d</t>
        </is>
      </c>
      <c r="I290" s="6" t="n"/>
    </row>
    <row r="291" ht="32" customHeight="1">
      <c r="A291" s="13" t="inlineStr">
        <is>
          <t>2026-10-14 20:51</t>
        </is>
      </c>
      <c r="B291" s="13" t="inlineStr">
        <is>
          <t>P2-19</t>
        </is>
      </c>
      <c r="C291" s="6" t="inlineStr">
        <is>
          <t>P2-16 ③ 回滾過多時自動暫停推送</t>
        </is>
      </c>
      <c r="D291" s="13" t="inlineStr">
        <is>
          <t>未開始</t>
        </is>
      </c>
      <c r="E291" s="13" t="inlineStr">
        <is>
          <t>進行中</t>
        </is>
      </c>
      <c r="F291" s="13" t="n"/>
      <c r="G291" s="6" t="n"/>
      <c r="H291" s="13" t="n"/>
      <c r="I291" s="6" t="n"/>
    </row>
    <row r="292" ht="158" customHeight="1">
      <c r="A292" s="13" t="inlineStr">
        <is>
          <t>2026-10-14 20:58</t>
        </is>
      </c>
      <c r="B292" s="13" t="inlineStr">
        <is>
          <t>P2-19</t>
        </is>
      </c>
      <c r="C292" s="6" t="inlineStr">
        <is>
          <t>P2-16 ③ 回滾過多時自動暫停推送</t>
        </is>
      </c>
      <c r="D292" s="13" t="inlineStr">
        <is>
          <t>進行中</t>
        </is>
      </c>
      <c r="E292" s="13" t="inlineStr">
        <is>
          <t>進行中</t>
        </is>
      </c>
      <c r="F292" s="13" t="n"/>
      <c r="G292" s="6" t="n"/>
      <c r="H292" s="13" t="n"/>
      <c r="I292" s="6" t="inlineStr">
        <is>
          <t>2026-10-14 用戶決定拿走「同一台下發/下載 3 次未確認即暫停」：實測中途斷開的下載 3 次有 1 次被當成完整下載（伺服器只知道寫進緩衝區），線上映像經 nginx 和 Cloudflare 會被整個先收下，伺服器永遠看到下載完成；按下發次數計會把網絡不穩（C3 TLS）誤判成壞版本。韌體已把崩潰和試用期內斷電重裝 2 次（OTA_MAX_TRIES）都回報成回滾，由回滾率規則處理。；修改了驗收標準、測試方法</t>
        </is>
      </c>
    </row>
    <row r="293" ht="144" customHeight="1">
      <c r="A293" s="13" t="inlineStr">
        <is>
          <t>2026-10-14 20:58</t>
        </is>
      </c>
      <c r="B293" s="13" t="inlineStr">
        <is>
          <t>P2-19</t>
        </is>
      </c>
      <c r="C293" s="6" t="inlineStr">
        <is>
          <t>P2-16 ③ 回滾過多時自動暫停推送</t>
        </is>
      </c>
      <c r="D293" s="13" t="inlineStr">
        <is>
          <t>進行中</t>
        </is>
      </c>
      <c r="E293" s="13" t="inlineStr">
        <is>
          <t>已完成</t>
        </is>
      </c>
      <c r="F293" s="13" t="inlineStr">
        <is>
          <t>通過</t>
        </is>
      </c>
      <c r="G293" s="6" t="inlineStr">
        <is>
          <t>migration 20261014200000 BEGIN/ROLLBACK 套用兩次無錯並已套用本機。模擬 20 台連跑兩次 12/12：1/20 回滾不暫停、其餘 18 台照常；2/20 → 'Auto-paused: 2 of 20 boards rolled back (10%)'，其餘 0 台拿到 ota；已運行的設備記為 running 且不再下發；審計 1 筆 actor 空；恢復後 17 台拿到、保持恢復，第 3 台回滾 → 'Auto-paused: 3 of 20 (15%)'；白名單 2 台中 1 台回滾 → 50% 立即暫停、另一台不再下發；anon 呼叫 ota_maybe_pause → 401/42501。測試數據已清除，spotpear-ai-toy 1.6.2 仍 100% 未暫停</t>
        </is>
      </c>
      <c r="H293" s="13" t="inlineStr">
        <is>
          <t>9500d50</t>
        </is>
      </c>
      <c r="I293" s="6" t="n"/>
    </row>
    <row r="294" ht="46" customHeight="1">
      <c r="A294" s="13" t="inlineStr">
        <is>
          <t>2026-10-14 20:58</t>
        </is>
      </c>
      <c r="B294" s="13" t="inlineStr">
        <is>
          <t>P2-16</t>
        </is>
      </c>
      <c r="C294" s="6" t="inlineStr">
        <is>
          <t>OTA 分批推送與後台發佈頁</t>
        </is>
      </c>
      <c r="D294" s="13" t="inlineStr">
        <is>
          <t>進行中</t>
        </is>
      </c>
      <c r="E294" s="13" t="inlineStr">
        <is>
          <t>進行中</t>
        </is>
      </c>
      <c r="F294" s="13" t="n"/>
      <c r="G294" s="6" t="n"/>
      <c r="H294" s="13" t="n"/>
      <c r="I294" s="6" t="inlineStr">
        <is>
          <t>2026-10-14 用戶決定拿走「同一台重啟 3 次即暫停」，原因見 P2-19；修改了驗收標準、測試方法</t>
        </is>
      </c>
    </row>
    <row r="295" ht="32" customHeight="1">
      <c r="A295" s="13" t="inlineStr">
        <is>
          <t>2026-10-14 21:00</t>
        </is>
      </c>
      <c r="B295" s="13" t="inlineStr">
        <is>
          <t>P2-20</t>
        </is>
      </c>
      <c r="C295" s="6" t="inlineStr">
        <is>
          <t>P2-16 ④ 從後台上傳與發佈韌體（取代手貼 service key）</t>
        </is>
      </c>
      <c r="D295" s="13" t="inlineStr">
        <is>
          <t>未開始</t>
        </is>
      </c>
      <c r="E295" s="13" t="inlineStr">
        <is>
          <t>進行中</t>
        </is>
      </c>
      <c r="F295" s="13" t="n"/>
      <c r="G295" s="6" t="n"/>
      <c r="H295" s="13" t="n"/>
      <c r="I295" s="6" t="n"/>
    </row>
    <row r="296" ht="200" customHeight="1">
      <c r="A296" s="13" t="inlineStr">
        <is>
          <t>2026-10-14 21:10</t>
        </is>
      </c>
      <c r="B296" s="13" t="inlineStr">
        <is>
          <t>P2-20</t>
        </is>
      </c>
      <c r="C296" s="6" t="inlineStr">
        <is>
          <t>P2-16 ④ 從後台上傳與發佈韌體（取代手貼 service key）</t>
        </is>
      </c>
      <c r="D296" s="13" t="inlineStr">
        <is>
          <t>進行中</t>
        </is>
      </c>
      <c r="E296" s="13" t="inlineStr">
        <is>
          <t>已完成</t>
        </is>
      </c>
      <c r="F296" s="13" t="inlineStr">
        <is>
          <t>通過</t>
        </is>
      </c>
      <c r="G296" s="6" t="inlineStr">
        <is>
          <t>node --test lib/firmwareImage.test.mjs 8/8（合成映像：dev build、無標記、未知板、晶片不符、非映像、截斷/損壞、超 4MB 拒；超 2MB 只警告）。分支 dev server + 本機 Supabase 端到端 16/16（GoTrue 真實登入的 cookie）：超管上傳 9.9.0 release build → 201 草稿（is_current f、rollout 0%），DB SHA-256 = 檔案、storage 原樣；審計 insert 記該超管；設備仍只拿到 current 1.6.2；已有 1.0.2 → 409；localall → 422 dev build；4MB+16 → 422；9MB → 413；PNG → 422；舊 1.6.1 映像（無標記）→ 422 指向 release_firmware.py；內容管理員上傳/刪除 → 403；未登入 → 401；刪 current → 409；超管刪草稿 → 行和映像都刪、審計 delete 記該超管。release_firmware.py list 照常。測試帳號與數據已清除</t>
        </is>
      </c>
      <c r="H296" s="13" t="inlineStr">
        <is>
          <t>ebe8dc9</t>
        </is>
      </c>
      <c r="I296" s="6" t="inlineStr">
        <is>
          <t>做法：韌體 OTA.cpp 加 BUILD_INFO 字串（kind=release/dev;board;version），伺服器從映像讀板型和版本，不用手填；DEV_MODE/LOCAL_WS_HOST/LOCAL_BACKEND_HOST/AUDIO_SELFTEST 為 dev。只有加了標記之後編譯的韌體能從後台上傳，之前的仍用 release_firmware.py。部署注意：① 網頁的 nginx location 很可能仍是預設 1MB 上限（/supabase-api/ 已改 16m），上傳 1.6MB 映像會 413，部署時要加 client_max_body_size 16m 並用 curl 驗證 ② 依賴 P1-10 的審計表（本機已有，線上隨 10-14 release 部署）</t>
        </is>
      </c>
    </row>
    <row r="297" ht="32" customHeight="1">
      <c r="A297" s="13" t="inlineStr">
        <is>
          <t>2026-10-14 21:47</t>
        </is>
      </c>
      <c r="B297" s="13" t="inlineStr">
        <is>
          <t>P2-21</t>
        </is>
      </c>
      <c r="C297" s="6" t="inlineStr">
        <is>
          <t>P2-16 ⑤ 後台 OTA 頁換成真實數據與操作</t>
        </is>
      </c>
      <c r="D297" s="13" t="inlineStr">
        <is>
          <t>未開始</t>
        </is>
      </c>
      <c r="E297" s="13" t="inlineStr">
        <is>
          <t>進行中</t>
        </is>
      </c>
      <c r="F297" s="13" t="n"/>
      <c r="G297" s="6" t="n"/>
      <c r="H297" s="13" t="n"/>
      <c r="I297" s="6" t="n"/>
    </row>
    <row r="298" ht="270" customHeight="1">
      <c r="A298" s="13" t="inlineStr">
        <is>
          <t>2026-10-14 21:59</t>
        </is>
      </c>
      <c r="B298" s="13" t="inlineStr">
        <is>
          <t>P2-21</t>
        </is>
      </c>
      <c r="C298" s="6" t="inlineStr">
        <is>
          <t>P2-16 ⑤ 後台 OTA 頁換成真實數據與操作</t>
        </is>
      </c>
      <c r="D298" s="13" t="inlineStr">
        <is>
          <t>進行中</t>
        </is>
      </c>
      <c r="E298" s="13" t="inlineStr">
        <is>
          <t>進行中</t>
        </is>
      </c>
      <c r="F298" s="13" t="inlineStr">
        <is>
          <t>部分通過</t>
        </is>
      </c>
      <c r="G298" s="6" t="inlineStr">
        <is>
          <t>本機（分支 dev server 3216 + 本機 Supabase，GoTrue 真實登入的超管 cookie），用 xmini-c3 板型 + 20 台模擬設備以免碰到真開發板：頁面上傳 9.9.0 → 草稿；白名單加 1 台（UI 選單）→ 存檔；設為 current → 頁面預測 1 台、模擬 1 台；推進 10% → 預測 4、實得 4（重複不變）；50% → 預測 9、實得 9 且包含 10% 全部；100% → 20/20。2 台回滾 → 頁面顯示 'Paused … by the server: Auto-paused: 2 of 20 boards rolled back (10%)' 與回滾清單 2 台；點回滾設備 → 設備頁已帶 MAC 搜尋；恢復 → 其餘 18 台再拿到、回滾的 2 台不再下發；手動暫停未填原因不能確認、填後顯示 'by an admin'。審計頁 9 筆（上傳、白名單、current、10/50/100%、系統暫停、恢復、手動暫停），系統暫停顯示 System。375px scrollWidth=375。內容管理員側欄只有 Characters/IPs、#ota 退回 Characters、頁面無 OTA 數據，直接呼叫 admin_change_firmware_rollout → 403/42501。測試中發現並修正：舊版本（含 63:64 仍在跑的 1.6.1）被當成可刪除的草稿（6c2dc9d）。測試數據已清除</t>
        </is>
      </c>
      <c r="H298" s="13" t="inlineStr">
        <is>
          <t>e0d7ac6</t>
        </is>
      </c>
      <c r="I298" s="6" t="inlineStr">
        <is>
          <t>未完成：依賴 P2-14 的真板測試未做；測試方法中『白名單加 62:70』以模擬設備代替，實機一步歸 P2-16 ④，等板子到手一起做</t>
        </is>
      </c>
    </row>
    <row r="299" ht="144" customHeight="1">
      <c r="A299" s="13" t="inlineStr">
        <is>
          <t>2026-10-14 21:59</t>
        </is>
      </c>
      <c r="B299" s="13" t="inlineStr">
        <is>
          <t>P2-16</t>
        </is>
      </c>
      <c r="C299" s="6" t="inlineStr">
        <is>
          <t>OTA 分批推送與後台發佈頁</t>
        </is>
      </c>
      <c r="D299" s="13" t="inlineStr">
        <is>
          <t>進行中</t>
        </is>
      </c>
      <c r="E299" s="13" t="inlineStr">
        <is>
          <t>進行中</t>
        </is>
      </c>
      <c r="F299" s="13" t="inlineStr">
        <is>
          <t>部分通過</t>
        </is>
      </c>
      <c r="G299" s="6" t="inlineStr">
        <is>
          <t>子任務 P2-17～P2-20 通過、P2-21 部分通過（等 P2-14）。① 10% 階段只有雜湊預測的那組拿到、重複不變（P2-18、P2-21）② 2 台回滾 → 自動暫停、其餘不再拿到（P2-19、P2-21）③ 100% 全部拿到 ⑤ 審計表有每次階段變更（P2-21 9 筆）。未做：④ 開發板 62:70 實機走一次白名單階段（用戶目前手上沒有板子），同時驗證新韌體開機印出 BUILD_INFO</t>
        </is>
      </c>
      <c r="H299" s="13" t="n"/>
      <c r="I299" s="6" t="inlineStr">
        <is>
          <t>部署清單：① migrations 20261014190000、200000、210000、220000（依序，在 10-14 release 的 7 個之後）② 網頁 image ③ nginx 網頁 location 加 client_max_body_size 16m，curl 上傳 2MB 不得 413 ④ 韌體 BUILD_INFO 隨下一版韌體出，之前的版本仍用 release_firmware.py 發佈。分支 p2-16-ota-rollout 6 個 commit，未合併 dev、未推送</t>
        </is>
      </c>
    </row>
    <row r="300" ht="46" customHeight="1">
      <c r="A300" s="13" t="inlineStr">
        <is>
          <t>2026-10-14 22:19</t>
        </is>
      </c>
      <c r="B300" s="13" t="inlineStr">
        <is>
          <t>P2-22</t>
        </is>
      </c>
      <c r="C300" s="6" t="inlineStr">
        <is>
          <t>改服務器網址也不失聯：語音網址由後端下發、後端網址可遷移、已確認韌體長期連不上時自救</t>
        </is>
      </c>
      <c r="E300" s="13" t="inlineStr">
        <is>
          <t>未開始</t>
        </is>
      </c>
      <c r="I300" s="6" t="inlineStr">
        <is>
          <t>新增任務</t>
        </is>
      </c>
    </row>
    <row r="301" ht="102" customHeight="1">
      <c r="A301" s="13" t="inlineStr">
        <is>
          <t>2026-10-14 22:19</t>
        </is>
      </c>
      <c r="B301" s="13" t="inlineStr">
        <is>
          <t>P2-22</t>
        </is>
      </c>
      <c r="C301" s="6" t="inlineStr">
        <is>
          <t>改服務器網址也不失聯：語音網址由後端下發、後端網址可遷移、已確認韌體長期連不上時自救</t>
        </is>
      </c>
      <c r="D301" s="13" t="inlineStr">
        <is>
          <t>未開始</t>
        </is>
      </c>
      <c r="E301" s="13" t="inlineStr">
        <is>
          <t>未開始</t>
        </is>
      </c>
      <c r="F301" s="13" t="n"/>
      <c r="G301" s="6" t="n"/>
      <c r="H301" s="13" t="n"/>
      <c r="I301" s="6" t="inlineStr">
        <is>
          <t>2026-10-14 用戶要求：日後改 FastAPI 網址，板子仍要能 OTA 並連上。① 後端改動可隨時部署；②–⑦ 的韌體部分必須在 11/27 交 Spotpear 的出廠映像之前完成，出廠後才加的話，已出貨的板子靠 OTA 也能拿到，但前提是當時的網址還連得上。</t>
        </is>
      </c>
    </row>
    <row r="302" ht="46" customHeight="1">
      <c r="A302" s="13" t="inlineStr">
        <is>
          <t>2026-10-15 09:15</t>
        </is>
      </c>
      <c r="B302" s="13" t="inlineStr">
        <is>
          <t>P2-22</t>
        </is>
      </c>
      <c r="C302" s="6" t="inlineStr">
        <is>
          <t>改服務器網址也不失聯：語音網址由後端下發、後端網址可遷移、已確認韌體長期連不上時自救</t>
        </is>
      </c>
      <c r="D302" s="13" t="inlineStr">
        <is>
          <t>未開始</t>
        </is>
      </c>
      <c r="E302" s="13" t="inlineStr">
        <is>
          <t>進行中</t>
        </is>
      </c>
      <c r="F302" s="13" t="n"/>
      <c r="G302" s="6" t="n"/>
      <c r="H302" s="13" t="n"/>
      <c r="I302" s="6" t="n"/>
    </row>
    <row r="303" ht="144" customHeight="1">
      <c r="A303" s="13" t="inlineStr">
        <is>
          <t>2026-10-15 09:15</t>
        </is>
      </c>
      <c r="B303" s="13" t="inlineStr">
        <is>
          <t>P2-22</t>
        </is>
      </c>
      <c r="C303" s="6" t="inlineStr">
        <is>
          <t>改服務器網址也不失聯：語音網址由後端下發、後端網址可遷移、已確認韌體長期連不上時自救</t>
        </is>
      </c>
      <c r="D303" s="13" t="inlineStr">
        <is>
          <t>進行中</t>
        </is>
      </c>
      <c r="E303" s="13" t="inlineStr">
        <is>
          <t>進行中</t>
        </is>
      </c>
      <c r="F303" s="13" t="inlineStr">
        <is>
          <t>部分通過</t>
        </is>
      </c>
      <c r="G303" s="6" t="inlineStr">
        <is>
          <t>後端部分（分支 p2-22-server-urls）：node --test lib/deviceServerUrls.test.mjs 5/5、tsc 0 錯誤。worktree dev server 3222 + 本機 Supabase，兩塊假板（02:22:…:01/02）：已認領 200 帶 voice_url + backend_url；未認領 202 只帶 backend_url；DEVICE_VOICE_URL=ws://fastapi:7860/… → 不發、日誌記錯誤；兩個變數都不設 → 兩個欄位都不帶；生產值 → wss://elatoai.hkqft.com/fastapi/ws/esp32、https://elatoai.hkqft.com。測試數據已清除</t>
        </is>
      </c>
      <c r="H303" s="13" t="inlineStr">
        <is>
          <t>c0f0e29</t>
        </is>
      </c>
      <c r="I303" s="6" t="inlineStr">
        <is>
          <t>未完成：韌體部分（①② 使用 voice_url 並在 NVS 記上次成功的值、③ 候選 backend_url、④⑤ 連續 10 次開機連不上就切槽、⑦ 允許的網域後綴）未開始，要用 62:70 實機測；runbook（③ 舊網址保留多久、⑥ 證書鏈檢查）未寫。部署：.env.production 加 DEVICE_VOICE_URL、DEVICE_BACKEND_URL；舊韌體會忽略這兩個欄位，可以先上後端。分支未合併 dev、未推送</t>
        </is>
      </c>
    </row>
    <row r="304" ht="144" customHeight="1">
      <c r="A304" s="13" t="inlineStr">
        <is>
          <t>2026-10-15 09:43</t>
        </is>
      </c>
      <c r="B304" s="13" t="inlineStr">
        <is>
          <t>P2-14</t>
        </is>
      </c>
      <c r="C304" s="6" t="inlineStr">
        <is>
          <t>Admin 設備頁：每台玩具的狀態、韌體與基本操作</t>
        </is>
      </c>
      <c r="D304" s="13" t="inlineStr">
        <is>
          <t>進行中</t>
        </is>
      </c>
      <c r="E304" s="13" t="inlineStr">
        <is>
          <t>已完成</t>
        </is>
      </c>
      <c r="F304" s="13" t="inlineStr">
        <is>
          <t>通過</t>
        </is>
      </c>
      <c r="G304" s="6" t="inlineStr">
        <is>
          <t>真機 62:70（2026-10-15，分支 hw-test-1015 = dev+P2-16，-localall 1.7.0，本機網頁 3230 + 語音 7870）：① 開機 → 設備頁 Online、-67 dBm、1.7.0；板子停在 bootloader 約 38 秒後語音伺服器判離線（uvicorn ping 超時），頁面 0 台在線 ② 重置設備密鑰 → device_secrets 行刪除，板子重開印『Device secret issued and stored』並連上，行恢復 ③ 強制解綁 → 板子拿 202（配對碼 UKDM7N），語音伺服器拒絕連線；兩項審計各 1 筆含操作者與原因 ④ 內容管理員/anon → 42501（10-14 探測腳本）</t>
        </is>
      </c>
      <c r="H304" s="13" t="inlineStr">
        <is>
          <t>1d31bb0</t>
        </is>
      </c>
      <c r="I304" s="6" t="inlineStr">
        <is>
          <t>頁面在分頁不可見時不輪詢（設計如此），可見時立即刷新。測完已用 SQL 把 62:70 綁回 multi-device-test@example.test。</t>
        </is>
      </c>
    </row>
    <row r="305" ht="144" customHeight="1">
      <c r="A305" s="13" t="inlineStr">
        <is>
          <t>2026-10-15 09:43</t>
        </is>
      </c>
      <c r="B305" s="13" t="inlineStr">
        <is>
          <t>P2-16</t>
        </is>
      </c>
      <c r="C305" s="6" t="inlineStr">
        <is>
          <t>OTA 分批推送與後台發佈頁</t>
        </is>
      </c>
      <c r="D305" s="13" t="inlineStr">
        <is>
          <t>進行中</t>
        </is>
      </c>
      <c r="E305" s="13" t="inlineStr">
        <is>
          <t>已完成</t>
        </is>
      </c>
      <c r="F305" s="13" t="inlineStr">
        <is>
          <t>通過</t>
        </is>
      </c>
      <c r="G305" s="6" t="inlineStr">
        <is>
          <t>④ 真機 62:70（2026-10-15）：USB 刷 1.7.0（開機印 aibuddy-build;kind=dev;…;version=1.7.0）→ release_firmware.py publish --dev 1.7.1 → 後台白名單加 62:70、改白名單階段、設為 current → 按 BOOT 喚醒：取 token 200、下載 12.8s、重開進 app1，09:39:36 連上語音伺服器；09:42 重開 → 『Firmware 1.7.1 on app1』無 probation、Up to date；頁面『Rolling out · Whitelist』運行 1 台、回滾 0；審計 5 筆（發佈、白名單、階段、1.6.2 取消 current、1.7.1 設 current）。①②③⑤ 見 P2-17～P2-21 模擬 20 台</t>
        </is>
      </c>
      <c r="H305" s="13" t="inlineStr">
        <is>
          <t>e0d7ac6</t>
        </is>
      </c>
      <c r="I305" s="6" t="inlineStr">
        <is>
          <t>附帶：一開始本機 current 是 1.6.2（以舊 IP/端口編譯），1.7.0 開機就被推 1.6.2，裝上後連不上，試用期內重開即回到 1.7.0（非崩潰，判定會再試），回滾路徑實機正常。之後用 SQL 暫停 1.6.2。用腳本發佈的新版本要重新載入 OTA 頁才出現。</t>
        </is>
      </c>
    </row>
    <row r="306" ht="88" customHeight="1">
      <c r="A306" s="13" t="inlineStr">
        <is>
          <t>2026-10-15 09:43</t>
        </is>
      </c>
      <c r="B306" s="13" t="inlineStr">
        <is>
          <t>P2-21</t>
        </is>
      </c>
      <c r="C306" s="6" t="inlineStr">
        <is>
          <t>P2-16 ⑤ 後台 OTA 頁換成真實數據與操作</t>
        </is>
      </c>
      <c r="D306" s="13" t="inlineStr">
        <is>
          <t>進行中</t>
        </is>
      </c>
      <c r="E306" s="13" t="inlineStr">
        <is>
          <t>已完成</t>
        </is>
      </c>
      <c r="F306" s="13" t="inlineStr">
        <is>
          <t>通過</t>
        </is>
      </c>
      <c r="G306" s="6" t="inlineStr">
        <is>
          <t>10-14 模擬 20 台全部通過（見上次）；2026-10-15 真機補做：OTA 頁對 1.7.1 白名單加 62:70（UI MAC 欄）→ 存檔確認框 → 『Narrow to Whitelist』確認 → Make current（用戶點）→ 62:70 安裝並確認，頁面顯示 Rolling out · Whitelist、運行 1、回滾 0；每步一筆審計。依賴 P2-14 已完成</t>
        </is>
      </c>
      <c r="H306" s="13" t="inlineStr">
        <is>
          <t>e0d7ac6</t>
        </is>
      </c>
      <c r="I306" s="6" t="n"/>
    </row>
    <row r="307" ht="144" customHeight="1">
      <c r="A307" s="13" t="inlineStr">
        <is>
          <t>2026-10-15 09:48</t>
        </is>
      </c>
      <c r="B307" s="13" t="inlineStr">
        <is>
          <t>R-36</t>
        </is>
      </c>
      <c r="C307" s="6" t="inlineStr">
        <is>
          <t>未認領的設備停在配對狀態，不再每秒重連 websocket</t>
        </is>
      </c>
      <c r="D307" s="13" t="inlineStr">
        <is>
          <t>進行中</t>
        </is>
      </c>
      <c r="E307" s="13" t="inlineStr">
        <is>
          <t>進行中</t>
        </is>
      </c>
      <c r="F307" s="13" t="inlineStr">
        <is>
          <t>部分通過</t>
        </is>
      </c>
      <c r="G307" s="6" t="inlineStr">
        <is>
          <t>真機 62:70（2026-10-15，r-36 rebase 到 dev 1bd85ac，-localall 1.7.2，本機 3230/7870）：① 09:45:10 後台解綁 → 語音伺服器只在 09:45:11 拒絕 1 次，串口『device token refused, pausing』，之後只見 generate_auth_token 202 輪詢（約 70 秒 4 次）② 09:46:36 重新認領 → 09:46:53 自動連上（17 秒）並播出開場白，沒按鍵、沒重開 ④ 對照：改動前 1.7.0 解綁後每秒被拒 1 次（約 57 次/分鐘）。未做：③ 已綁定時斷網 30 秒再恢復；洋紅慢閃燈號未目視；⑤ 隨 OTA 推出</t>
        </is>
      </c>
      <c r="H307" s="13" t="inlineStr">
        <is>
          <t>1bd85ac</t>
        </is>
      </c>
      <c r="I307" s="6" t="inlineStr">
        <is>
          <t>rebase 衝突在 networkTask：R-36 的暫停條件和 R-41 的 reportPower() 都保留（reportPower 自己檢查連線）。分支未推送。</t>
        </is>
      </c>
    </row>
    <row r="308" ht="32" customHeight="1">
      <c r="A308" s="13" t="inlineStr">
        <is>
          <t>2026-10-15 09:50</t>
        </is>
      </c>
      <c r="B308" s="13" t="inlineStr">
        <is>
          <t>P2-23</t>
        </is>
      </c>
      <c r="C308" s="6" t="inlineStr">
        <is>
          <t>無感 OTA：閒置入睡前在背景下載，下次喚醒時生效</t>
        </is>
      </c>
      <c r="E308" s="13" t="inlineStr">
        <is>
          <t>未開始</t>
        </is>
      </c>
      <c r="I308" s="6" t="inlineStr">
        <is>
          <t>新增任務</t>
        </is>
      </c>
    </row>
    <row r="309" ht="74" customHeight="1">
      <c r="A309" s="13" t="inlineStr">
        <is>
          <t>2026-10-15 09:50</t>
        </is>
      </c>
      <c r="B309" s="13" t="inlineStr">
        <is>
          <t>P2-23</t>
        </is>
      </c>
      <c r="C309" s="6" t="inlineStr">
        <is>
          <t>無感 OTA：閒置入睡前在背景下載，下次喚醒時生效</t>
        </is>
      </c>
      <c r="D309" s="13" t="inlineStr">
        <is>
          <t>未開始</t>
        </is>
      </c>
      <c r="E309" s="13" t="inlineStr">
        <is>
          <t>未開始</t>
        </is>
      </c>
      <c r="F309" s="13" t="n"/>
      <c r="G309" s="6" t="n"/>
      <c r="H309" s="13" t="n"/>
      <c r="I309" s="6" t="inlineStr">
        <is>
          <t>2026-10-15 用戶要求。最好趕上 11/27 交 Spotpear 的出廠映像；趕不上也能經 OTA 推出，只是那一次更新仍要開機時等。依賴 P2-16（分批推送，已完成）。</t>
        </is>
      </c>
    </row>
    <row r="310" ht="116" customHeight="1">
      <c r="A310" s="13" t="inlineStr">
        <is>
          <t>2026-10-15 10:04</t>
        </is>
      </c>
      <c r="B310" s="13" t="inlineStr">
        <is>
          <t>R-37</t>
        </is>
      </c>
      <c r="C310" s="6" t="inlineStr">
        <is>
          <t>網頁設定玩具的 Wi-Fi：查看、新增、刪除</t>
        </is>
      </c>
      <c r="D310" s="13" t="inlineStr">
        <is>
          <t>進行中</t>
        </is>
      </c>
      <c r="E310" s="13" t="inlineStr">
        <is>
          <t>進行中</t>
        </is>
      </c>
      <c r="F310" s="13" t="n"/>
      <c r="G310" s="6" t="n"/>
      <c r="H310" s="13" t="n"/>
      <c r="I310" s="6" t="inlineStr">
        <is>
          <t>2026-10-15 用戶決定：加「改用這個 Wi-Fi」（⑦），④ 改為新增不自動切換、可由家長手動切換。起因：62:70 實測加了 iPhone 熱點也無法讓玩具改用。另：離線一律顯示「睡著了」會誤導（63:64 已 6 天未上線仍叫人按按鈕），待改為按上次上線時間分開提示。；修改了驗收標準、測試方法</t>
        </is>
      </c>
    </row>
    <row r="311" ht="200" customHeight="1">
      <c r="A311" s="13" t="inlineStr">
        <is>
          <t>2026-10-15 10:26</t>
        </is>
      </c>
      <c r="B311" s="13" t="inlineStr">
        <is>
          <t>R-37</t>
        </is>
      </c>
      <c r="C311" s="6" t="inlineStr">
        <is>
          <t>網頁設定玩具的 Wi-Fi：查看、新增、刪除</t>
        </is>
      </c>
      <c r="D311" s="13" t="inlineStr">
        <is>
          <t>進行中</t>
        </is>
      </c>
      <c r="E311" s="13" t="inlineStr">
        <is>
          <t>進行中</t>
        </is>
      </c>
      <c r="F311" s="13" t="inlineStr">
        <is>
          <t>部分通過</t>
        </is>
      </c>
      <c r="G311" s="6" t="inlineStr">
        <is>
          <t>2026-10-15 真機 62:70（hw-test-1015 = dev + P2-16 + R-36 + r-37-wifi-switch，1.7.5，本機 3230/7870）：① 熱點關掉 → 醒來重開後改連 HKQF - Guest 並上線（運行中途消失未單獨測）⑦ Use 按鈕、確認框（寫明 20 秒退回原網絡）、切換中提示都正常；熱點關著按 Use → 11 秒內頁面『couldn't find … nearby. It's back on HKQF - Guest』；熱點開著（到不了 Mac）→ 9 秒內『joined … but couldn't reach the internet … back on HKQF - Guest』，串口 failed (no_internet) → Back on；切換到目前網絡 → current、未存 SSID → unknown，板子不動。pytest 272 passed（新增 6 項），tsc 0 錯誤。未做：⑦ 成功切換（要第二個到得了 Mac 的網絡）、別人設備呼叫 switch → 403（同一個擁有者檢查，未對 switch 重測）、② 密碼打錯</t>
        </is>
      </c>
      <c r="H311" s="13" t="inlineStr">
        <is>
          <t>3c180cd</t>
        </is>
      </c>
      <c r="I311" s="6" t="inlineStr">
        <is>
          <t>測試中修了原有 bug（a4 之後第二個 commit）：驅動在沒連上的網絡斷開時不發事件，WiFi.status() 留著上次的『找不到』，新嘗試一開始就被當失敗；1.7.4 切換失敗後連不回 Guest 並掉進 SoftAP，tryConnect() 也同樣。joinFor() 改為 6 秒後才相信失敗，tryConnect() 共用。雲端韌體同樣有這 bug。另：開機時 tryConnect() 挑最強的網絡但不檢查能否到伺服器，62:70 開機連上到不了 Mac 的熱點後一直卡著（見 P2-22 ④ 或另開任務）。分支 r-37-wifi-switch 未推送。</t>
        </is>
      </c>
    </row>
    <row r="312" ht="46" customHeight="1">
      <c r="A312" s="13" t="inlineStr">
        <is>
          <t>2026-10-15 10:26</t>
        </is>
      </c>
      <c r="B312" s="13" t="inlineStr">
        <is>
          <t>R-36</t>
        </is>
      </c>
      <c r="C312" s="6" t="inlineStr">
        <is>
          <t>未認領的設備停在配對狀態，不再每秒重連 websocket</t>
        </is>
      </c>
      <c r="D312" s="13" t="inlineStr">
        <is>
          <t>進行中</t>
        </is>
      </c>
      <c r="E312" s="13" t="inlineStr">
        <is>
          <t>進行中</t>
        </is>
      </c>
      <c r="F312" s="13" t="inlineStr">
        <is>
          <t>部分通過</t>
        </is>
      </c>
      <c r="G312" s="6" t="inlineStr">
        <is>
          <t>補充 2026-10-15（1.7.5，含 R-36）：已綁定時兩次 Wi-Fi 切換各斷網 9–11 秒，都自動重連並重新 auth，沒有停在暫停狀態；30 秒斷網仍未做</t>
        </is>
      </c>
      <c r="H312" s="13" t="n"/>
      <c r="I312" s="6" t="n"/>
    </row>
    <row r="313" ht="46" customHeight="1">
      <c r="A313" s="13" t="inlineStr">
        <is>
          <t>2026-10-15 10:26</t>
        </is>
      </c>
      <c r="B313" s="13" t="inlineStr">
        <is>
          <t>R-37</t>
        </is>
      </c>
      <c r="C313" s="6" t="inlineStr">
        <is>
          <t>網頁設定玩具的 Wi-Fi：查看、新增、刪除</t>
        </is>
      </c>
      <c r="D313" s="13" t="inlineStr">
        <is>
          <t>進行中</t>
        </is>
      </c>
      <c r="E313" s="13" t="inlineStr">
        <is>
          <t>進行中</t>
        </is>
      </c>
      <c r="F313" s="13" t="n"/>
      <c r="G313" s="6" t="n"/>
      <c r="H313" s="13" t="inlineStr">
        <is>
          <t>22d7674</t>
        </is>
      </c>
      <c r="I313" s="6" t="inlineStr">
        <is>
          <t>更正上一條備註：stale『找不到』的修正是 22d7674（切換功能本身是 3c180cd）。</t>
        </is>
      </c>
    </row>
    <row r="314" ht="32" customHeight="1">
      <c r="A314" s="13" t="inlineStr">
        <is>
          <t>2026-10-15 10:29</t>
        </is>
      </c>
      <c r="B314" s="13" t="inlineStr">
        <is>
          <t>P2-24</t>
        </is>
      </c>
      <c r="C314" s="6" t="inlineStr">
        <is>
          <t>麥克風上行改用 IMA ADPCM（減少 4 倍頻寬）</t>
        </is>
      </c>
      <c r="E314" s="13" t="inlineStr">
        <is>
          <t>未開始</t>
        </is>
      </c>
      <c r="I314" s="6" t="inlineStr">
        <is>
          <t>新增任務</t>
        </is>
      </c>
    </row>
    <row r="315" ht="46" customHeight="1">
      <c r="A315" s="13" t="inlineStr">
        <is>
          <t>2026-10-15 10:29</t>
        </is>
      </c>
      <c r="B315" s="13" t="inlineStr">
        <is>
          <t>P2-25</t>
        </is>
      </c>
      <c r="C315" s="6" t="inlineStr">
        <is>
          <t>C3 斷線後自救：TLS 握手超時縮短、連續失敗重設 Wi-Fi 或重開、修重試漏記憶體</t>
        </is>
      </c>
      <c r="E315" s="13" t="inlineStr">
        <is>
          <t>未開始</t>
        </is>
      </c>
      <c r="I315" s="6" t="inlineStr">
        <is>
          <t>新增任務</t>
        </is>
      </c>
    </row>
    <row r="316" ht="46" customHeight="1">
      <c r="A316" s="13" t="inlineStr">
        <is>
          <t>2026-10-15 10:29</t>
        </is>
      </c>
      <c r="B316" s="13" t="inlineStr">
        <is>
          <t>P2-25</t>
        </is>
      </c>
      <c r="C316" s="6" t="inlineStr">
        <is>
          <t>C3 斷線後自救：TLS 握手超時縮短、連續失敗重設 Wi-Fi 或重開、修重試漏記憶體</t>
        </is>
      </c>
      <c r="D316" s="13" t="inlineStr">
        <is>
          <t>未開始</t>
        </is>
      </c>
      <c r="E316" s="13" t="inlineStr">
        <is>
          <t>未開始</t>
        </is>
      </c>
      <c r="F316" s="13" t="n"/>
      <c r="G316" s="6" t="n"/>
      <c r="H316" s="13" t="n"/>
      <c r="I316" s="6" t="inlineStr">
        <is>
          <t>修改了依賴→</t>
        </is>
      </c>
    </row>
    <row r="317" ht="32" customHeight="1">
      <c r="A317" s="13" t="inlineStr">
        <is>
          <t>2026-10-15 10:29</t>
        </is>
      </c>
      <c r="B317" s="13" t="inlineStr">
        <is>
          <t>P2-24</t>
        </is>
      </c>
      <c r="C317" s="6" t="inlineStr">
        <is>
          <t>麥克風上行改用 IMA ADPCM（減少 4 倍頻寬）</t>
        </is>
      </c>
      <c r="D317" s="13" t="inlineStr">
        <is>
          <t>未開始</t>
        </is>
      </c>
      <c r="E317" s="13" t="inlineStr">
        <is>
          <t>進行中</t>
        </is>
      </c>
      <c r="F317" s="13" t="n"/>
      <c r="G317" s="6" t="n"/>
      <c r="H317" s="13" t="n"/>
      <c r="I317" s="6" t="n"/>
    </row>
    <row r="318" ht="158" customHeight="1">
      <c r="A318" s="13" t="inlineStr">
        <is>
          <t>2026-10-15 10:29</t>
        </is>
      </c>
      <c r="B318" s="13" t="inlineStr">
        <is>
          <t>P2-22</t>
        </is>
      </c>
      <c r="C318" s="6" t="inlineStr">
        <is>
          <t>改服務器網址也不失聯：語音網址由後端下發、後端網址可遷移、已確認韌體長期連不上時自救</t>
        </is>
      </c>
      <c r="D318" s="13" t="inlineStr">
        <is>
          <t>進行中</t>
        </is>
      </c>
      <c r="E318" s="13" t="inlineStr">
        <is>
          <t>進行中</t>
        </is>
      </c>
      <c r="F318" s="13" t="n"/>
      <c r="G318" s="6" t="n"/>
      <c r="H318" s="13" t="n"/>
      <c r="I318" s="6" t="inlineStr">
        <is>
          <t>2026-10-15（用戶決定只記備註、不另開任務）：開機時 tryConnect() 挑訊號最強的已存網絡，但不檢查能否到伺服器。若該網絡本身上不了網（熱點關了流動數據、要網頁登入的酒店 Wi-Fi、寬頻斷了），玩具每次開機都會卡在那裡，即使另一個已存網絡可用。做 ④ 時一併考慮：連上後取不到 token 就改試下一個已存網絡。62:70 連著到不了本機伺服器的 iPhone 熱點時出現過，但那是本機測試環境造成的，雲端不會。</t>
        </is>
      </c>
    </row>
    <row r="319" ht="60" customHeight="1">
      <c r="A319" s="13" t="inlineStr">
        <is>
          <t>2026-10-15 10:29</t>
        </is>
      </c>
      <c r="B319" s="13" t="inlineStr">
        <is>
          <t>R-37</t>
        </is>
      </c>
      <c r="C319" s="6" t="inlineStr">
        <is>
          <t>網頁設定玩具的 Wi-Fi：查看、新增、刪除</t>
        </is>
      </c>
      <c r="D319" s="13" t="inlineStr">
        <is>
          <t>進行中</t>
        </is>
      </c>
      <c r="E319" s="13" t="inlineStr">
        <is>
          <t>進行中</t>
        </is>
      </c>
      <c r="F319" s="13" t="n"/>
      <c r="G319" s="6" t="n"/>
      <c r="H319" s="13" t="n"/>
      <c r="I319" s="6" t="inlineStr">
        <is>
          <t>2026-10-15：⑦ 的成功切換在本機測不到（熱點到不了 Mac 上的伺服器），留到部署上 UAT 或雲端後用 iPhone 熱點測一次。</t>
        </is>
      </c>
    </row>
    <row r="320" ht="158" customHeight="1">
      <c r="A320" s="13" t="inlineStr">
        <is>
          <t>2026-10-15 10:42</t>
        </is>
      </c>
      <c r="B320" s="13" t="inlineStr">
        <is>
          <t>P2-24</t>
        </is>
      </c>
      <c r="C320" s="6" t="inlineStr">
        <is>
          <t>麥克風上行改用 IMA ADPCM（減少 4 倍頻寬）</t>
        </is>
      </c>
      <c r="D320" s="13" t="inlineStr">
        <is>
          <t>進行中</t>
        </is>
      </c>
      <c r="E320" s="13" t="inlineStr">
        <is>
          <t>進行中</t>
        </is>
      </c>
      <c r="F320" s="13" t="inlineStr">
        <is>
          <t>部分通過</t>
        </is>
      </c>
      <c r="G320" s="6" t="inlineStr">
        <is>
          <t>① pytest test_mic_adpcm 10 項：Mac 上編譯 firmware MicAdpcm.cpp，與 audioop 逐 byte 一致（改壞一個表值即失敗）；分塊解碼 = 連續流解碼；掉一塊只損失該塊；人聲段 SNR &gt; 20dB；全套 275 passed ② 伺服器按 X-Mic-Codec 解碼，無 header 照舊 PCM（10:37 1.7.5 → mic=pcm，10:40 1.7.6 → mic=adpcm）③ 62:70 Guest（2026-10-15）：ADPCM 3 輪 Azure zh-HK 辨識通順完整（如『但係點解依家望到外邊係陰天嘅？』），STT 431–526ms，對照同場 PCM 560ms；上行 27,650B/3,370ms 與 16,625B/2,026ms = 8.2 B/ms（PCM 32），發送最長 3ms、最低 heap 55KB</t>
        </is>
      </c>
      <c r="H320" s="13" t="inlineStr">
        <is>
          <t>1ed9d3b</t>
        </is>
      </c>
      <c r="I320" s="6" t="inlineStr">
        <is>
          <t>未做：④ 雲端板在 iPhone 熱點重跑 10/13 量度（等雲端可測）；⑤ 舊韌體 1.0.1 連新伺服器（邏輯上無 header 即 PCM，pytest 已覆蓋，未實機）；用戶確認辨識文字與原話一致。分支 p2-24-adpcm-uplink 未合併、未推送。</t>
        </is>
      </c>
    </row>
    <row r="321" ht="130" customHeight="1">
      <c r="A321" s="13" t="inlineStr">
        <is>
          <t>2026-10-15 10:42</t>
        </is>
      </c>
      <c r="B321" s="13" t="inlineStr">
        <is>
          <t>R-37</t>
        </is>
      </c>
      <c r="C321" s="6" t="inlineStr">
        <is>
          <t>網頁設定玩具的 Wi-Fi：查看、新增、刪除</t>
        </is>
      </c>
      <c r="D321" s="13" t="inlineStr">
        <is>
          <t>進行中</t>
        </is>
      </c>
      <c r="E321" s="13" t="inlineStr">
        <is>
          <t>進行中</t>
        </is>
      </c>
      <c r="F321" s="13" t="inlineStr">
        <is>
          <t>部分通過</t>
        </is>
      </c>
      <c r="G321" s="6" t="inlineStr">
        <is>
          <t>62:70（1.7.4/1.7.5，2026-10-15）：① 熱點關掉後醒來改連 HKQF - Guest 並上線（發生在醒來重開時）⑦ Use 按鈕、確認框、『Moving to…』；熱點關著時按 Use → 11 秒內頁面顯示『couldn't find lee’s iPhone nearby. It's back on HKQF - Guest』，串口 not_found → Back on Guest → 重連。過程中發現並修正：驅動殘留上一次的『找不到』令連回原網絡立即失敗並掉進 SoftAP（joinFor 6 秒內不信失敗，tryConnect 同用）。pytest 272 passed</t>
        </is>
      </c>
      <c r="H321" s="13" t="inlineStr">
        <is>
          <t>3c180cd</t>
        </is>
      </c>
      <c r="I321" s="6" t="inlineStr">
        <is>
          <t>未做：⑦ 熱點開著但到不了伺服器（no_internet）→ 退回；⑦ 成功切換（需第二個能到 Mac 的網絡）；② 密碼打錯。發現：開機挑最強訊號、不檢查能否到伺服器，62:70 開機時連上 iPhone 熱點就一直取不到 token（本機伺服器到不了），建議併入 P2-22 ④ 或另開。分支 r-37-wifi-switch（3c180cd + 修正）未合併、未推送。</t>
        </is>
      </c>
    </row>
  </sheetData>
  <autoFilter ref="A1:I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2026-10-05T01:40:12Z</dcterms:created>
  <dcterms:modified xmlns:dcterms="http://purl.org/dc/terms/" xmlns:xsi="http://www.w3.org/2001/XMLSchema-instance" xsi:type="dcterms:W3CDTF">2026-10-15T02:42:29Z</dcterms:modified>
</cp:coreProperties>
</file>