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'任務清單'!$A$1:$P$94</definedName>
    <definedName name="_xlnm._FilterDatabase" localSheetId="2" hidden="1">'待確認問題'!$A$1:$G$14</definedName>
    <definedName name="_xlnm._FilterDatabase" localSheetId="3" hidden="1">'更新記錄'!$A$1:$I$287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最後更新：2026-10-14 20:45　·　本頁由 tracker.py 自動生成，請勿手動編輯</t>
        </is>
      </c>
    </row>
    <row r="3">
      <c r="A3" s="3" t="inlineStr">
        <is>
          <t>總進度：19/89 已完成（21%）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21</v>
      </c>
      <c r="D8" s="7">
        <f>COUNTIFS('任務清單'!$B:$B,$A8,'任務清單'!$F:$F,D$5)</f>
        <v>11</v>
      </c>
      <c r="E8" s="7">
        <f>COUNTIFS('任務清單'!$B:$B,$A8,'任務清單'!$F:$F,E$5)</f>
        <v>6</v>
      </c>
      <c r="F8" s="7">
        <f>COUNTIFS('任務清單'!$B:$B,$A8,'任務清單'!$F:$F,F$5)</f>
        <v>4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0.19047619047619047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93</v>
      </c>
      <c r="D10" s="5">
        <f>SUM(D6:D9)</f>
        <v>49</v>
      </c>
      <c r="E10" s="5">
        <f>SUM(E6:E9)</f>
        <v>16</v>
      </c>
      <c r="F10" s="5">
        <f>SUM(F6:F9)</f>
        <v>19</v>
      </c>
      <c r="G10" s="5">
        <f>SUM(G6:G9)</f>
        <v>5</v>
      </c>
      <c r="H10" s="5">
        <f>SUM(H6:H9)</f>
        <v>4</v>
      </c>
      <c r="I10" s="9">
        <f>IFERROR(F10/(C10-H10),0)</f>
        <v>0.21348314606741572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35</v>
      </c>
      <c r="D14" s="7">
        <f>COUNTIFS('任務清單'!$C:$C,$A14,'任務清單'!$F:$F,D$12)</f>
        <v>18</v>
      </c>
      <c r="E14" s="7">
        <f>COUNTIFS('任務清單'!$C:$C,$A14,'任務清單'!$F:$F,E$12)</f>
        <v>9</v>
      </c>
      <c r="F14" s="7">
        <f>COUNTIFS('任務清單'!$C:$C,$A14,'任務清單'!$F:$F,F$12)</f>
        <v>4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0.12121212121212122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27</v>
      </c>
      <c r="D15" s="7">
        <f>COUNTIFS('任務清單'!$C:$C,$A15,'任務清單'!$F:$F,D$12)</f>
        <v>22</v>
      </c>
      <c r="E15" s="7">
        <f>COUNTIFS('任務清單'!$C:$C,$A15,'任務清單'!$F:$F,E$12)</f>
        <v>2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93</v>
      </c>
      <c r="D17" s="5">
        <f>SUM(D13:D16)</f>
        <v>49</v>
      </c>
      <c r="E17" s="5">
        <f>SUM(E13:E16)</f>
        <v>16</v>
      </c>
      <c r="F17" s="5">
        <f>SUM(F13:F16)</f>
        <v>19</v>
      </c>
      <c r="G17" s="5">
        <f>SUM(G13:G16)</f>
        <v>5</v>
      </c>
      <c r="H17" s="5">
        <f>SUM(H13:H16)</f>
        <v>4</v>
      </c>
      <c r="I17" s="9">
        <f>IFERROR(F17/(C17-H17),0)</f>
        <v>0.21348314606741572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98" customHeight="1">
      <c r="A31" s="13" t="inlineStr">
        <is>
          <t>P2-14</t>
        </is>
      </c>
      <c r="B31" s="6" t="inlineStr">
        <is>
          <t>Admin 設備頁：每台玩具的狀態、韌體與基本操作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
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F31" s="11" t="n"/>
      <c r="G31" s="11" t="n"/>
      <c r="H31" s="11" t="n"/>
      <c r="I31" s="12" t="n"/>
    </row>
    <row r="32" ht="102" customHeight="1">
      <c r="A32" s="13" t="inlineStr">
        <is>
          <t>P2-16</t>
        </is>
      </c>
      <c r="B32" s="6" t="inlineStr">
        <is>
          <t>OTA 分批推送與後台發佈頁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後台可上傳韌體（伺服器算 SHA-256、寫 firmware_releases）、填說明、設為 current；推送分階段：白名單 MAC → 10% → 50% → 100%，按 MAC 雜湊穩定分組；回滾率超過 5% 或任一台在試用期內重啟 3 次即自動暫停；顯示每個版本已更新、回滾台數與回滾設備清單；顯示 app 分區用量（P2-12）；每個發佈操作寫入審計記錄。</t>
        </is>
      </c>
      <c r="F32" s="11" t="n"/>
      <c r="G32" s="11" t="n"/>
      <c r="H32" s="11" t="n"/>
      <c r="I32" s="12" t="n"/>
    </row>
    <row r="33" ht="200" customHeight="1">
      <c r="A33" s="13" t="inlineStr">
        <is>
          <t>R-21</t>
        </is>
      </c>
      <c r="B33" s="6" t="inlineStr">
        <is>
          <t>藍牙配網與綁定（取代熱點配網）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3" s="11" t="n"/>
      <c r="G33" s="11" t="n"/>
      <c r="H33" s="11" t="n"/>
      <c r="I33" s="12" t="n"/>
    </row>
    <row r="34" ht="116" customHeight="1">
      <c r="A34" s="13" t="inlineStr">
        <is>
          <t>R-36</t>
        </is>
      </c>
      <c r="B34" s="6" t="inlineStr">
        <is>
          <t>未認領的設備停在配對狀態，不再每秒重連 websocket</t>
        </is>
      </c>
      <c r="C34" s="13" t="inlineStr">
        <is>
          <t>2 內測準備</t>
        </is>
      </c>
      <c r="D34" s="13" t="inlineStr">
        <is>
          <t>進行中</t>
        </is>
      </c>
      <c r="E34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4" s="11" t="n"/>
      <c r="G34" s="11" t="n"/>
      <c r="H34" s="11" t="n"/>
      <c r="I34" s="12" t="n"/>
    </row>
    <row r="35" ht="228" customHeight="1">
      <c r="A35" s="13" t="inlineStr">
        <is>
          <t>P2-12</t>
        </is>
      </c>
      <c r="B35" s="6" t="inlineStr">
        <is>
          <t>量產燒錄前加大 app 分區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5" s="11" t="n"/>
      <c r="G35" s="11" t="n"/>
      <c r="H35" s="11" t="n"/>
      <c r="I35" s="12" t="n"/>
    </row>
    <row r="36" ht="242" customHeight="1">
      <c r="A36" s="13" t="inlineStr">
        <is>
          <t>R-37</t>
        </is>
      </c>
      <c r="B36" s="6" t="inlineStr">
        <is>
          <t>網頁設定玩具的 Wi-Fi：查看、新增、刪除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6" s="11" t="n"/>
      <c r="G36" s="11" t="n"/>
      <c r="H36" s="11" t="n"/>
      <c r="I36" s="12" t="n"/>
    </row>
    <row r="37" ht="102" customHeight="1">
      <c r="A37" s="13" t="inlineStr">
        <is>
          <t>R-16</t>
        </is>
      </c>
      <c r="B37" s="6" t="inlineStr">
        <is>
          <t>Spotpear 量產版加電池電壓檢測（GPIO0 分壓）</t>
        </is>
      </c>
      <c r="C37" s="13" t="inlineStr">
        <is>
          <t>1 止血定案</t>
        </is>
      </c>
      <c r="D37" s="13" t="inlineStr">
        <is>
          <t>未開始</t>
        </is>
      </c>
      <c r="E37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P1-11</t>
        </is>
      </c>
      <c r="B38" s="6" t="inlineStr">
        <is>
          <t>伺服器與資料庫直接存取的管控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P2-02</t>
        </is>
      </c>
      <c r="B39" s="6" t="inlineStr">
        <is>
          <t>CI 跑測試與靜態檢查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推送與 PR 時跑 pytest、ruff、pyright、next lint、tsc --noEmit、pio run；任何一項失敗就不發佈 image。</t>
        </is>
      </c>
      <c r="F39" s="11" t="n"/>
      <c r="G39" s="11" t="n"/>
      <c r="H39" s="11" t="n"/>
      <c r="I39" s="12" t="n"/>
    </row>
    <row r="40" ht="32" customHeight="1">
      <c r="A40" s="13" t="inlineStr">
        <is>
          <t>P2-04</t>
        </is>
      </c>
      <c r="B40" s="6" t="inlineStr">
        <is>
          <t>容器改用非 root 用戶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兩個 Dockerfile 都設定非 root 的 USER。</t>
        </is>
      </c>
      <c r="F40" s="11" t="n"/>
      <c r="G40" s="11" t="n"/>
      <c r="H40" s="11" t="n"/>
      <c r="I40" s="12" t="n"/>
    </row>
    <row r="41" ht="74" customHeight="1">
      <c r="A41" s="13" t="inlineStr">
        <is>
          <t>P2-18</t>
        </is>
      </c>
      <c r="B41" s="6" t="inlineStr">
        <is>
          <t>P2-16 ② 按 MAC 雜湊穩定分組決定哪台收到 ota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F41" s="11" t="n"/>
      <c r="G41" s="11" t="n"/>
      <c r="H41" s="11" t="n"/>
      <c r="I41" s="12" t="n"/>
    </row>
    <row r="42" ht="46" customHeight="1">
      <c r="A42" s="13" t="inlineStr">
        <is>
          <t>R-04</t>
        </is>
      </c>
      <c r="B42" s="6" t="inlineStr">
        <is>
          <t>粵語質量評測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172" customHeight="1">
      <c r="A46" s="13" t="inlineStr">
        <is>
          <t>P2-17</t>
        </is>
      </c>
      <c r="B46" s="6" t="inlineStr">
        <is>
          <t>P2-16 ① 分批推送的數據表：推送階段、白名單、每台安裝結果</t>
        </is>
      </c>
      <c r="C46" s="13" t="inlineStr">
        <is>
          <t>通過</t>
        </is>
      </c>
      <c r="D46" s="13" t="inlineStr">
        <is>
          <t>2026-10-14</t>
        </is>
      </c>
      <c r="E4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46" s="11" t="n"/>
      <c r="G46" s="11" t="n"/>
      <c r="H46" s="11" t="n"/>
      <c r="I46" s="12" t="n"/>
    </row>
    <row r="47" ht="116" customHeight="1">
      <c r="A47" s="13" t="inlineStr">
        <is>
          <t>R-41</t>
        </is>
      </c>
      <c r="B47" s="6" t="inlineStr">
        <is>
          <t>App 顯示玩具電量狀態（低電量提示）</t>
        </is>
      </c>
      <c r="C47" s="13" t="inlineStr">
        <is>
          <t>通過</t>
        </is>
      </c>
      <c r="D47" s="13" t="inlineStr">
        <is>
          <t>2026-10-14</t>
        </is>
      </c>
      <c r="E47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47" s="11" t="n"/>
      <c r="G47" s="11" t="n"/>
      <c r="H47" s="11" t="n"/>
      <c r="I47" s="12" t="n"/>
    </row>
    <row r="48" ht="102" customHeight="1">
      <c r="A48" s="13" t="inlineStr">
        <is>
          <t>P0-12</t>
        </is>
      </c>
      <c r="B48" s="6" t="inlineStr">
        <is>
          <t>收緊 Admin 權限與路由保護</t>
        </is>
      </c>
      <c r="C48" s="13" t="inlineStr">
        <is>
          <t>通過</t>
        </is>
      </c>
      <c r="D48" s="13" t="inlineStr">
        <is>
          <t>2026-10-12</t>
        </is>
      </c>
      <c r="E4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48" s="11" t="n"/>
      <c r="G48" s="11" t="n"/>
      <c r="H48" s="11" t="n"/>
      <c r="I48" s="12" t="n"/>
    </row>
    <row r="49" ht="88" customHeight="1">
      <c r="A49" s="13" t="inlineStr">
        <is>
          <t>P0-15</t>
        </is>
      </c>
      <c r="B49" s="6" t="inlineStr">
        <is>
          <t>角色表權限：只有內容管理員能發佈，關閉家長自建角色</t>
        </is>
      </c>
      <c r="C49" s="13" t="inlineStr">
        <is>
          <t>通過</t>
        </is>
      </c>
      <c r="D49" s="13" t="inlineStr">
        <is>
          <t>2026-10-12</t>
        </is>
      </c>
      <c r="E49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49" s="11" t="n"/>
      <c r="G49" s="11" t="n"/>
      <c r="H49" s="11" t="n"/>
      <c r="I49" s="12" t="n"/>
    </row>
    <row r="50" ht="88" customHeight="1">
      <c r="A50" s="13" t="inlineStr">
        <is>
          <t>P0-16</t>
        </is>
      </c>
      <c r="B50" s="6" t="inlineStr">
        <is>
          <t>移除「醫生」身份與寫死的通關碼</t>
        </is>
      </c>
      <c r="C50" s="13" t="inlineStr">
        <is>
          <t>通過</t>
        </is>
      </c>
      <c r="D50" s="13" t="inlineStr">
        <is>
          <t>2026-10-12</t>
        </is>
      </c>
      <c r="E50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50" s="11" t="n"/>
      <c r="G50" s="11" t="n"/>
      <c r="H50" s="11" t="n"/>
      <c r="I50" s="12" t="n"/>
    </row>
    <row r="51" ht="60" customHeight="1">
      <c r="A51" s="13" t="inlineStr">
        <is>
          <t>P0-09</t>
        </is>
      </c>
      <c r="B51" s="6" t="inlineStr">
        <is>
          <t>瀏覽器語音路由改用簽名 token（/ws/nextjs）</t>
        </is>
      </c>
      <c r="C51" s="13" t="inlineStr">
        <is>
          <t>通過</t>
        </is>
      </c>
      <c r="D51" s="13" t="inlineStr">
        <is>
          <t>2026-10-12</t>
        </is>
      </c>
      <c r="E51" s="6" t="inlineStr">
        <is>
          <t>線上 2026-10-12（bac24e9）：wss /fastapi/ws/nextjs 只帶 user_id 或 token=bogus → 4401；用戶確認：登入 elatoai.hkqft.com 後網頁 playground 可正常對話</t>
        </is>
      </c>
      <c r="F51" s="11" t="n"/>
      <c r="G51" s="11" t="n"/>
      <c r="H51" s="11" t="n"/>
      <c r="I51" s="12" t="n"/>
    </row>
    <row r="52" ht="60" customHeight="1">
      <c r="A52" s="13" t="inlineStr">
        <is>
          <t>P0-17</t>
        </is>
      </c>
      <c r="B52" s="6" t="inlineStr">
        <is>
          <t>前端的 anon key 必須是公開 key，不可是 secret／service_role</t>
        </is>
      </c>
      <c r="C52" s="13" t="inlineStr">
        <is>
          <t>通過</t>
        </is>
      </c>
      <c r="D52" s="13" t="inlineStr">
        <is>
          <t>2026-10-12</t>
        </is>
      </c>
      <c r="E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F52" s="11" t="n"/>
      <c r="G52" s="11" t="n"/>
      <c r="H52" s="11" t="n"/>
      <c r="I52" s="12" t="n"/>
    </row>
    <row r="53" ht="46" customHeight="1">
      <c r="A53" s="13" t="inlineStr">
        <is>
          <t>P0-10</t>
        </is>
      </c>
      <c r="B53" s="6" t="inlineStr">
        <is>
          <t>生產環境關閉 /browser 測試頁與 /ws/browser</t>
        </is>
      </c>
      <c r="C53" s="13" t="inlineStr">
        <is>
          <t>通過</t>
        </is>
      </c>
      <c r="D53" s="13" t="inlineStr">
        <is>
          <t>2026-10-12</t>
        </is>
      </c>
      <c r="E53" s="6" t="inlineStr">
        <is>
          <t>線上 2026-10-12（bac24e9）：GET /fastapi/browser 404、/fastapi/ 404、/fastapi/healthz 200、wss /fastapi/ws/browser → HTTP 403</t>
        </is>
      </c>
      <c r="F53" s="11" t="n"/>
      <c r="G53" s="11" t="n"/>
      <c r="H53" s="11" t="n"/>
      <c r="I53" s="12" t="n"/>
    </row>
    <row r="55">
      <c r="A55" s="10" t="inlineStr">
        <is>
          <t>⏳ 等待依賴 / ⛔ 阻塞</t>
        </is>
      </c>
    </row>
    <row r="56">
      <c r="A56" s="4" t="inlineStr">
        <is>
          <t>編號</t>
        </is>
      </c>
      <c r="B56" s="4" t="inlineStr">
        <is>
          <t>任務</t>
        </is>
      </c>
      <c r="C56" s="4" t="inlineStr">
        <is>
          <t>在等什麼</t>
        </is>
      </c>
      <c r="D56" s="11" t="n"/>
      <c r="E56" s="11" t="n"/>
      <c r="F56" s="11" t="n"/>
      <c r="G56" s="11" t="n"/>
      <c r="H56" s="11" t="n"/>
      <c r="I56" s="12" t="n"/>
    </row>
    <row r="57" ht="88" customHeight="1">
      <c r="A57" s="13" t="inlineStr">
        <is>
          <t>R-17</t>
        </is>
      </c>
      <c r="B57" s="6" t="inlineStr">
        <is>
          <t>Spotpear 電池耗盡時插電能否正常開機（供電路徑）</t>
        </is>
      </c>
      <c r="C57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7" s="11" t="n"/>
      <c r="E57" s="11" t="n"/>
      <c r="F57" s="11" t="n"/>
      <c r="G57" s="11" t="n"/>
      <c r="H57" s="11" t="n"/>
      <c r="I57" s="12" t="n"/>
    </row>
    <row r="58" ht="60" customHeight="1">
      <c r="A58" s="13" t="inlineStr">
        <is>
          <t>P1-01</t>
        </is>
      </c>
      <c r="B58" s="6" t="inlineStr">
        <is>
          <t>加入內容審核層（輸入與輸出）</t>
        </is>
      </c>
      <c r="C58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P1-09</t>
        </is>
      </c>
      <c r="B59" s="6" t="inlineStr">
        <is>
          <t>家長鎖：孩子模式進設定要輸入 PIN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R-12</t>
        </is>
      </c>
      <c r="B60" s="6" t="inlineStr">
        <is>
          <t>家長控制：每日使用上限和休息時段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R-29</t>
        </is>
      </c>
      <c r="B61" s="6" t="inlineStr">
        <is>
          <t>AI Buddy App（品牌 C）頁面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P2-19</t>
        </is>
      </c>
      <c r="B62" s="6" t="inlineStr">
        <is>
          <t>P2-16 ③ 回滾過多時自動暫停推送</t>
        </is>
      </c>
      <c r="C62" s="6" t="inlineStr">
        <is>
          <t>等 P2-18</t>
        </is>
      </c>
      <c r="D62" s="11" t="n"/>
      <c r="E62" s="11" t="n"/>
      <c r="F62" s="11" t="n"/>
      <c r="G62" s="11" t="n"/>
      <c r="H62" s="11" t="n"/>
      <c r="I62" s="12" t="n"/>
    </row>
    <row r="63" ht="32" customHeight="1">
      <c r="A63" s="13" t="inlineStr">
        <is>
          <t>P2-20</t>
        </is>
      </c>
      <c r="B63" s="6" t="inlineStr">
        <is>
          <t>P2-16 ④ 從後台上傳與發佈韌體（取代手貼 service key）</t>
        </is>
      </c>
      <c r="C63" s="6" t="inlineStr">
        <is>
          <t>等 P1-10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P2-21</t>
        </is>
      </c>
      <c r="B64" s="6" t="inlineStr">
        <is>
          <t>P2-16 ⑤ 後台 OTA 頁換成真實數據與操作</t>
        </is>
      </c>
      <c r="C64" s="6" t="inlineStr">
        <is>
          <t>等 P2-18、P2-19、P2-20、P2-14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R-05</t>
        </is>
      </c>
      <c r="B65" s="6" t="inlineStr">
        <is>
          <t>內測版外殼（3D 打印 20 台）</t>
        </is>
      </c>
      <c r="C65" s="6" t="inlineStr">
        <is>
          <t>等 R-01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R-06</t>
        </is>
      </c>
      <c r="B66" s="6" t="inlineStr">
        <is>
          <t>家長自助上手流程</t>
        </is>
      </c>
      <c r="C66" s="6" t="inlineStr">
        <is>
          <t>等 P0-11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R-13</t>
        </is>
      </c>
      <c r="B67" s="6" t="inlineStr">
        <is>
          <t>CP1 內測就緒檢查（10/30）</t>
        </is>
      </c>
      <c r="C67" s="6" t="inlineStr">
        <is>
          <t>等 P0-07、P0-11、P1-01、P1-02、P2-09、R-01、R-02、R-04、R-05、R-06、P1-11</t>
        </is>
      </c>
      <c r="D67" s="11" t="n"/>
      <c r="E67" s="11" t="n"/>
      <c r="F67" s="11" t="n"/>
      <c r="G67" s="11" t="n"/>
      <c r="H67" s="11" t="n"/>
      <c r="I67" s="12" t="n"/>
    </row>
    <row r="68" ht="32" customHeight="1">
      <c r="A68" s="13" t="inlineStr">
        <is>
          <t>R-18</t>
        </is>
      </c>
      <c r="B68" s="6" t="inlineStr">
        <is>
          <t>長按 BOOT 重新配網（開 AIBuddy-XXXX 熱點）</t>
        </is>
      </c>
      <c r="C68" s="6" t="inlineStr">
        <is>
          <t>等 R-01</t>
        </is>
      </c>
      <c r="D68" s="11" t="n"/>
      <c r="E68" s="11" t="n"/>
      <c r="F68" s="11" t="n"/>
      <c r="G68" s="11" t="n"/>
      <c r="H68" s="11" t="n"/>
      <c r="I68" s="12" t="n"/>
    </row>
    <row r="69" ht="32" customHeight="1">
      <c r="A69" s="13" t="inlineStr">
        <is>
          <t>R-19</t>
        </is>
      </c>
      <c r="B69" s="6" t="inlineStr">
        <is>
          <t>外接按鈕：量產板加 I2C 擴展晶片（TCA9555）</t>
        </is>
      </c>
      <c r="C69" s="6" t="inlineStr">
        <is>
          <t>等 R-01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R-20</t>
        </is>
      </c>
      <c r="B70" s="6" t="inlineStr">
        <is>
          <t>孩子資料與角色改成每台設備一份</t>
        </is>
      </c>
      <c r="C70" s="6" t="inlineStr">
        <is>
          <t>等 P1-12</t>
        </is>
      </c>
      <c r="D70" s="11" t="n"/>
      <c r="E70" s="11" t="n"/>
      <c r="F70" s="11" t="n"/>
      <c r="G70" s="11" t="n"/>
      <c r="H70" s="11" t="n"/>
      <c r="I70" s="12" t="n"/>
    </row>
    <row r="71" ht="32" customHeight="1">
      <c r="A71" s="13" t="inlineStr">
        <is>
          <t>R-27</t>
        </is>
      </c>
      <c r="B71" s="6" t="inlineStr">
        <is>
          <t>App 內登入：驗證碼、原生社交登入、刪除帳號</t>
        </is>
      </c>
      <c r="C71" s="6" t="inlineStr">
        <is>
          <t>等 R-26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P0-14</t>
        </is>
      </c>
      <c r="B72" s="6" t="inlineStr">
        <is>
          <t>韌體簽章、Secure Boot 與 Flash 加密</t>
        </is>
      </c>
      <c r="C72" s="6" t="inlineStr">
        <is>
          <t>等 R-01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P1-06</t>
        </is>
      </c>
      <c r="B73" s="6" t="inlineStr">
        <is>
          <t>處理 GPL-3.0 依賴（arduino-audio-tools）</t>
        </is>
      </c>
      <c r="C73" s="6" t="inlineStr">
        <is>
          <t>等 Q3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P1-07</t>
        </is>
      </c>
      <c r="B74" s="6" t="inlineStr">
        <is>
          <t>LGPL 合規與第三方授權聲明</t>
        </is>
      </c>
      <c r="C74" s="6" t="inlineStr">
        <is>
          <t>等 Q3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P1-08</t>
        </is>
      </c>
      <c r="B75" s="6" t="inlineStr">
        <is>
          <t>硬件認證</t>
        </is>
      </c>
      <c r="C75" s="6" t="inlineStr">
        <is>
          <t>等 R-01、R-05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P1-14</t>
        </is>
      </c>
      <c r="B76" s="6" t="inlineStr">
        <is>
          <t>Admin 內容安全頁：審核事件只按類別統計</t>
        </is>
      </c>
      <c r="C76" s="6" t="inlineStr">
        <is>
          <t>等 P1-01、P2-13</t>
        </is>
      </c>
      <c r="D76" s="11" t="n"/>
      <c r="E76" s="11" t="n"/>
      <c r="F76" s="11" t="n"/>
      <c r="G76" s="11" t="n"/>
      <c r="H76" s="11" t="n"/>
      <c r="I76" s="12" t="n"/>
    </row>
    <row r="77" ht="32" customHeight="1">
      <c r="A77" s="13" t="inlineStr">
        <is>
          <t>P2-15</t>
        </is>
      </c>
      <c r="B77" s="6" t="inlineStr">
        <is>
          <t>Admin 總覽頁：在線、用量、成本與待處理事項</t>
        </is>
      </c>
      <c r="C77" s="6" t="inlineStr">
        <is>
          <t>等 P2-14、P2-09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R-07</t>
        </is>
      </c>
      <c r="B78" s="6" t="inlineStr">
        <is>
          <t>20 個家庭封閉內測</t>
        </is>
      </c>
      <c r="C78" s="6" t="inlineStr">
        <is>
          <t>等 R-13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R-08</t>
        </is>
      </c>
      <c r="B79" s="6" t="inlineStr">
        <is>
          <t>第 8 週關卡決策</t>
        </is>
      </c>
      <c r="C79" s="6" t="inlineStr">
        <is>
          <t>等 R-07、P2-09、P1-08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R-14</t>
        </is>
      </c>
      <c r="B80" s="6" t="inlineStr">
        <is>
          <t>離線兒歌與故事</t>
        </is>
      </c>
      <c r="C80" s="6" t="inlineStr">
        <is>
          <t>等 R-01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R-24</t>
        </is>
      </c>
      <c r="B81" s="6" t="inlineStr">
        <is>
          <t>設備只能用自己品牌的角色</t>
        </is>
      </c>
      <c r="C81" s="6" t="inlineStr">
        <is>
          <t>等 R-34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R-28</t>
        </is>
      </c>
      <c r="B82" s="6" t="inlineStr">
        <is>
          <t>三個 App 的殼：品牌版本與測試版</t>
        </is>
      </c>
      <c r="C82" s="6" t="inlineStr">
        <is>
          <t>等 R-25、R-26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R-30</t>
        </is>
      </c>
      <c r="B83" s="6" t="inlineStr">
        <is>
          <t>快活 App（品牌 A）頁面</t>
        </is>
      </c>
      <c r="C83" s="6" t="inlineStr">
        <is>
          <t>等 R-25、R-34、Q12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R-31</t>
        </is>
      </c>
      <c r="B84" s="6" t="inlineStr">
        <is>
          <t>政協青年聯會版 App（品牌 B）頁面</t>
        </is>
      </c>
      <c r="C84" s="6" t="inlineStr">
        <is>
          <t>等 R-25、R-34、Q13</t>
        </is>
      </c>
      <c r="D84" s="11" t="n"/>
      <c r="E84" s="11" t="n"/>
      <c r="F84" s="11" t="n"/>
      <c r="G84" s="11" t="n"/>
      <c r="H84" s="11" t="n"/>
      <c r="I84" s="12" t="n"/>
    </row>
    <row r="85" ht="18" customHeight="1">
      <c r="A85" s="13" t="inlineStr">
        <is>
          <t>R-35</t>
        </is>
      </c>
      <c r="B85" s="6" t="inlineStr">
        <is>
          <t>韌體按品牌連線：伺服器網址在出廠時寫入</t>
        </is>
      </c>
      <c r="C85" s="6" t="inlineStr">
        <is>
          <t>等 R-34</t>
        </is>
      </c>
      <c r="D85" s="11" t="n"/>
      <c r="E85" s="11" t="n"/>
      <c r="F85" s="11" t="n"/>
      <c r="G85" s="11" t="n"/>
      <c r="H85" s="11" t="n"/>
      <c r="I85" s="12" t="n"/>
    </row>
    <row r="86" ht="32" customHeight="1">
      <c r="A86" s="13" t="inlineStr">
        <is>
          <t>R-38</t>
        </is>
      </c>
      <c r="B86" s="6" t="inlineStr">
        <is>
          <t>公仔出廠鎖死所屬 IP，綁定時顯示該 IP 頭像</t>
        </is>
      </c>
      <c r="C86" s="6" t="inlineStr">
        <is>
          <t>等 P0-11</t>
        </is>
      </c>
      <c r="D86" s="11" t="n"/>
      <c r="E86" s="11" t="n"/>
      <c r="F86" s="11" t="n"/>
      <c r="G86" s="11" t="n"/>
      <c r="H86" s="11" t="n"/>
      <c r="I86" s="12" t="n"/>
    </row>
    <row r="87" ht="32" customHeight="1">
      <c r="A87" s="13" t="inlineStr">
        <is>
          <t>R-39</t>
        </is>
      </c>
      <c r="B87" s="6" t="inlineStr">
        <is>
          <t>Admin 出廠登記頁：匯入 MAC 清單、指定公仔、查看自檢結果</t>
        </is>
      </c>
      <c r="C87" s="6" t="inlineStr">
        <is>
          <t>等 R-38、P1-10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R-09</t>
        </is>
      </c>
      <c r="B88" s="6" t="inlineStr">
        <is>
          <t>量產外殼（真空複模）</t>
        </is>
      </c>
      <c r="C88" s="6" t="inlineStr">
        <is>
          <t>等 R-08、R-05、Q11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R-10</t>
        </is>
      </c>
      <c r="B89" s="6" t="inlineStr">
        <is>
          <t>出廠流程</t>
        </is>
      </c>
      <c r="C89" s="6" t="inlineStr">
        <is>
          <t>等 P0-14、R-01、P2-12、R-34、R-35、R-38、R-39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R-11</t>
        </is>
      </c>
      <c r="B90" s="6" t="inlineStr">
        <is>
          <t>售後：客服、保修與換機</t>
        </is>
      </c>
      <c r="C90" s="6" t="inlineStr">
        <is>
          <t>等 P2-14、R-40</t>
        </is>
      </c>
      <c r="D90" s="11" t="n"/>
      <c r="E90" s="11" t="n"/>
      <c r="F90" s="11" t="n"/>
      <c r="G90" s="11" t="n"/>
      <c r="H90" s="11" t="n"/>
      <c r="I90" s="12" t="n"/>
    </row>
    <row r="91" ht="18" customHeight="1">
      <c r="A91" s="13" t="inlineStr">
        <is>
          <t>R-15</t>
        </is>
      </c>
      <c r="B91" s="6" t="inlineStr">
        <is>
          <t>農曆新年前交付（生產 1/15、送達 1/29）</t>
        </is>
      </c>
      <c r="C91" s="6" t="inlineStr">
        <is>
          <t>等 R-09、R-10</t>
        </is>
      </c>
      <c r="D91" s="11" t="n"/>
      <c r="E91" s="11" t="n"/>
      <c r="F91" s="11" t="n"/>
      <c r="G91" s="11" t="n"/>
      <c r="H91" s="11" t="n"/>
      <c r="I91" s="12" t="n"/>
    </row>
    <row r="92" ht="18" customHeight="1">
      <c r="A92" s="13" t="inlineStr">
        <is>
          <t>R-33</t>
        </is>
      </c>
      <c r="B92" s="6" t="inlineStr">
        <is>
          <t>三個 App 送審並通過</t>
        </is>
      </c>
      <c r="C92" s="6" t="inlineStr">
        <is>
          <t>等 R-27、R-21、R-28、R-29、R-30、R-31、R-32</t>
        </is>
      </c>
      <c r="D92" s="11" t="n"/>
      <c r="E92" s="11" t="n"/>
      <c r="F92" s="11" t="n"/>
      <c r="G92" s="11" t="n"/>
      <c r="H92" s="11" t="n"/>
      <c r="I92" s="12" t="n"/>
    </row>
    <row r="93" ht="32" customHeight="1">
      <c r="A93" s="13" t="inlineStr">
        <is>
          <t>R-40</t>
        </is>
      </c>
      <c r="B93" s="6" t="inlineStr">
        <is>
          <t>Admin 客服查詢頁：查帳號、名下設備與最近事件</t>
        </is>
      </c>
      <c r="C93" s="6" t="inlineStr">
        <is>
          <t>等 P2-14、P1-10、P1-12</t>
        </is>
      </c>
      <c r="D93" s="11" t="n"/>
      <c r="E93" s="11" t="n"/>
      <c r="F93" s="11" t="n"/>
      <c r="G93" s="11" t="n"/>
      <c r="H93" s="11" t="n"/>
      <c r="I93" s="12" t="n"/>
    </row>
    <row r="95">
      <c r="A95" s="10" t="inlineStr">
        <is>
          <t>❓ 待確認問題</t>
        </is>
      </c>
    </row>
    <row r="96">
      <c r="A96" s="4" t="inlineStr">
        <is>
          <t>編號</t>
        </is>
      </c>
      <c r="B96" s="4" t="inlineStr">
        <is>
          <t>問題</t>
        </is>
      </c>
      <c r="C96" s="4" t="inlineStr">
        <is>
          <t>影響的任務 / 為什麼重要</t>
        </is>
      </c>
      <c r="D96" s="11" t="n"/>
      <c r="E96" s="11" t="n"/>
      <c r="F96" s="11" t="n"/>
      <c r="G96" s="11" t="n"/>
      <c r="H96" s="11" t="n"/>
      <c r="I96" s="12" t="n"/>
    </row>
    <row r="97" ht="18" customHeight="1">
      <c r="A97" s="13" t="inlineStr">
        <is>
          <t>Q3</t>
        </is>
      </c>
      <c r="B97" s="6" t="inlineStr">
        <is>
          <t>韌體打算閉源商業銷售嗎？</t>
        </is>
      </c>
      <c r="C97" s="6" t="inlineStr">
        <is>
          <t>P1-06, P1-07：決定 GPL／LGPL 依賴要開源還是替換。</t>
        </is>
      </c>
      <c r="D97" s="11" t="n"/>
      <c r="E97" s="11" t="n"/>
      <c r="F97" s="11" t="n"/>
      <c r="G97" s="11" t="n"/>
      <c r="H97" s="11" t="n"/>
      <c r="I97" s="12" t="n"/>
    </row>
    <row r="98" ht="32" customHeight="1">
      <c r="A98" s="13" t="inlineStr">
        <is>
          <t>Q11</t>
        </is>
      </c>
      <c r="B98" s="6" t="inlineStr">
        <is>
          <t>馬會快活的賽馬日版和新春版各多少隻（共 2,500）？</t>
        </is>
      </c>
      <c r="C98" s="6" t="inlineStr">
        <is>
          <t>R-09, R-15：兩款的服裝和配件要分開訂料；11/20 前不知道，PP 樣和大貨單（11/27）會被拖慢。由馬會決定。</t>
        </is>
      </c>
      <c r="D98" s="11" t="n"/>
      <c r="E98" s="11" t="n"/>
      <c r="F98" s="11" t="n"/>
      <c r="G98" s="11" t="n"/>
      <c r="H98" s="11" t="n"/>
      <c r="I98" s="12" t="n"/>
    </row>
    <row r="99" ht="60" customHeight="1">
      <c r="A99" s="13" t="inlineStr">
        <is>
          <t>Q12</t>
        </is>
      </c>
      <c r="B99" s="6" t="inlineStr">
        <is>
          <t>快活 App 的「會員綁定」是指甚麼：用我們自己的帳號（email 驗證碼），還是接馬會的會員帳號登入（SSO）？</t>
        </is>
      </c>
      <c r="C99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9" s="11" t="n"/>
      <c r="E99" s="11" t="n"/>
      <c r="F99" s="11" t="n"/>
      <c r="G99" s="11" t="n"/>
      <c r="H99" s="11" t="n"/>
      <c r="I99" s="12" t="n"/>
    </row>
    <row r="100" ht="46" customHeight="1">
      <c r="A100" s="13" t="inlineStr">
        <is>
          <t>Q13</t>
        </is>
      </c>
      <c r="B100" s="6" t="inlineStr">
        <is>
          <t>政協青年聯會版的角色、語言和內容由誰提供？什麼時候交？</t>
        </is>
      </c>
      <c r="C100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100" s="11" t="n"/>
      <c r="E100" s="11" t="n"/>
      <c r="F100" s="11" t="n"/>
      <c r="G100" s="11" t="n"/>
      <c r="H100" s="11" t="n"/>
      <c r="I100" s="12" t="n"/>
    </row>
    <row r="102">
      <c r="A102" s="10" t="inlineStr">
        <is>
          <t>說明</t>
        </is>
      </c>
    </row>
    <row r="103" ht="32" customHeight="1">
      <c r="A103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4" ht="18" customHeight="1">
      <c r="A104" s="14" t="inlineStr">
        <is>
          <t>・測試結果：未測試 / 通過 / 失敗 / 部分通過。測試證據寫跑了什麼、看到什麼，完整歷史在「更新記錄」。</t>
        </is>
      </c>
    </row>
    <row r="105" ht="18" customHeight="1">
      <c r="A105" s="14" t="inlineStr">
        <is>
          <t>・「接下來」按階段排序，同一階段內再按優先級；依賴還沒滿足的任務不會出現在「接下來」。</t>
        </is>
      </c>
    </row>
    <row r="106" ht="18" customHeight="1">
      <c r="A106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7" ht="32" customHeight="1">
      <c r="A107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8">
    <mergeCell ref="C82:I82"/>
    <mergeCell ref="E52:I52"/>
    <mergeCell ref="E39:I39"/>
    <mergeCell ref="C67:I67"/>
    <mergeCell ref="E48:I48"/>
    <mergeCell ref="A2:I2"/>
    <mergeCell ref="E29:I29"/>
    <mergeCell ref="E38:I38"/>
    <mergeCell ref="C83:I83"/>
    <mergeCell ref="C92:I92"/>
    <mergeCell ref="E31:I31"/>
    <mergeCell ref="E40:I40"/>
    <mergeCell ref="C97:I97"/>
    <mergeCell ref="A19:I19"/>
    <mergeCell ref="E26:I26"/>
    <mergeCell ref="A103:I103"/>
    <mergeCell ref="E25:I25"/>
    <mergeCell ref="C60:I60"/>
    <mergeCell ref="C71:I71"/>
    <mergeCell ref="E50:I50"/>
    <mergeCell ref="E42:I42"/>
    <mergeCell ref="C91:I91"/>
    <mergeCell ref="A105:I105"/>
    <mergeCell ref="C57:I57"/>
    <mergeCell ref="C66:I66"/>
    <mergeCell ref="E20:I20"/>
    <mergeCell ref="E28:I28"/>
    <mergeCell ref="C77:I77"/>
    <mergeCell ref="C86:I86"/>
    <mergeCell ref="C68:I68"/>
    <mergeCell ref="C58:I58"/>
    <mergeCell ref="E30:I30"/>
    <mergeCell ref="E22:I22"/>
    <mergeCell ref="E46:I46"/>
    <mergeCell ref="A102:I102"/>
    <mergeCell ref="C85:I85"/>
    <mergeCell ref="C100:I100"/>
    <mergeCell ref="C65:I65"/>
    <mergeCell ref="C75:I75"/>
    <mergeCell ref="C84:I84"/>
    <mergeCell ref="C80:I80"/>
    <mergeCell ref="E32:I32"/>
    <mergeCell ref="C59:I59"/>
    <mergeCell ref="A1:I1"/>
    <mergeCell ref="E41:I41"/>
    <mergeCell ref="E47:I47"/>
    <mergeCell ref="C61:I61"/>
    <mergeCell ref="C70:I70"/>
    <mergeCell ref="E24:I24"/>
    <mergeCell ref="E33:I33"/>
    <mergeCell ref="A3:I3"/>
    <mergeCell ref="A55:I55"/>
    <mergeCell ref="A104:I104"/>
    <mergeCell ref="E35:I35"/>
    <mergeCell ref="A106:I106"/>
    <mergeCell ref="C74:I74"/>
    <mergeCell ref="C88:I88"/>
    <mergeCell ref="E45:I45"/>
    <mergeCell ref="C99:I99"/>
    <mergeCell ref="E37:I37"/>
    <mergeCell ref="E21:I21"/>
    <mergeCell ref="E23:I23"/>
    <mergeCell ref="C72:I72"/>
    <mergeCell ref="C81:I81"/>
    <mergeCell ref="A95:I95"/>
    <mergeCell ref="C69:I69"/>
    <mergeCell ref="E51:I51"/>
    <mergeCell ref="C96:I96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A44:I44"/>
    <mergeCell ref="E49:I49"/>
    <mergeCell ref="E27:I27"/>
    <mergeCell ref="E36:I36"/>
    <mergeCell ref="C63:I63"/>
    <mergeCell ref="C93:I93"/>
    <mergeCell ref="A107:I107"/>
    <mergeCell ref="C56:I56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4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214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進行中</t>
        </is>
      </c>
      <c r="G83" s="13" t="inlineStr">
        <is>
          <t>部分通過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130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進行中</t>
        </is>
      </c>
      <c r="G85" s="13" t="inlineStr">
        <is>
          <t>未測試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或任一台在試用期內重啟 3 次即自動暫停；顯示每個版本已更新、回滾台數與回滾設備清單；顯示 app 分區用量（P2-12）；每個發佈操作寫入審計記錄。</t>
        </is>
      </c>
      <c r="L85" s="6" t="inlineStr">
        <is>
          <t>本機 Supabase + 裝置模擬器（2bb6656）模擬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18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8675970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</t>
        </is>
      </c>
    </row>
    <row r="91" ht="7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未開始</t>
        </is>
      </c>
      <c r="G91" s="13" t="inlineStr">
        <is>
          <t>未測試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P91" s="6" t="inlineStr">
        <is>
          <t>[2026-10-14] 新增
[2026-10-14] 2026-10-14 用戶決定提前到第 2 階段，現在開始做</t>
        </is>
      </c>
    </row>
    <row r="92" ht="7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未開始</t>
        </is>
      </c>
      <c r="G92" s="13" t="inlineStr">
        <is>
          <t>未測試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5%，或任一台對同一版本被下發 3 次仍未確認，即自動暫停該版本並記下原因；暫停後其餘設備不再拿到 ota；已確認的設備不受影響；自動暫停寫入審計記錄（操作者記為系統）；只能由超級管理員在後台恢復。</t>
        </is>
      </c>
      <c r="L92" s="6" t="inlineStr">
        <is>
          <t>本機模擬 20 台、100% 階段：讓 2 台回報 failed_version → 該版本變暫停、原因含回滾率，其餘 18 台下一次請求不再拿到 ota；另讓 1 台連續 3 次拿到 ota 不確認 → 暫停；審計表各多一筆</t>
        </is>
      </c>
      <c r="M92" s="13" t="inlineStr">
        <is>
          <t>P2-18</t>
        </is>
      </c>
      <c r="P92" s="6" t="inlineStr">
        <is>
          <t>[2026-10-14] 新增
[2026-10-14] 2026-10-14 用戶決定提前到第 2 階段，現在開始做</t>
        </is>
      </c>
    </row>
    <row r="93" ht="102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未開始</t>
        </is>
      </c>
      <c r="G93" s="13" t="inlineStr">
        <is>
          <t>未測試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P93" s="6" t="inlineStr">
        <is>
          <t>[2026-10-14] 新增
[2026-10-14] 2026-10-14 用戶決定提前到第 2 階段，現在開始做</t>
        </is>
      </c>
    </row>
    <row r="94" ht="102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未開始</t>
        </is>
      </c>
      <c r="G94" s="13" t="inlineStr">
        <is>
          <t>未測試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P94" s="6" t="inlineStr">
        <is>
          <t>[2026-10-14] 新增
[2026-10-14] 2026-10-14 用戶決定提前到第 2 階段，現在開始做</t>
        </is>
      </c>
    </row>
  </sheetData>
  <autoFilter ref="A1:P94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</sheetData>
  <autoFilter ref="A1:I2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2026-10-14T12:45:13Z</dcterms:modified>
</cp:coreProperties>
</file>