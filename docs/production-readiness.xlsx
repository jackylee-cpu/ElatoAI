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'任務清單'!$A$1:$P$57</definedName>
    <definedName name="_xlnm._FilterDatabase" localSheetId="2" hidden="1">'待確認問題'!$A$1:$G$10</definedName>
    <definedName name="_xlnm._FilterDatabase" localSheetId="3" hidden="1">'更新記錄'!$A$1:$I$126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最後更新：2026-10-08 10:51　·　本頁由 tracker.py 自動生成，請勿手動編輯</t>
        </is>
      </c>
    </row>
    <row r="3">
      <c r="A3" s="3" t="inlineStr">
        <is>
          <t>總進度：4/55 已完成（7%）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3</v>
      </c>
      <c r="E6" s="7">
        <f>COUNTIFS('任務清單'!$B:$B,$A6,'任務清單'!$F:$F,E$5)</f>
        <v>13</v>
      </c>
      <c r="F6" s="7">
        <f>COUNTIFS('任務清單'!$B:$B,$A6,'任務清單'!$F:$F,F$5)</f>
        <v>0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0.0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11</v>
      </c>
      <c r="D7" s="7">
        <f>COUNTIFS('任務清單'!$B:$B,$A7,'任務清單'!$F:$F,D$5)</f>
        <v>11</v>
      </c>
      <c r="E7" s="7">
        <f>COUNTIFS('任務清單'!$B:$B,$A7,'任務清單'!$F:$F,E$5)</f>
        <v>0</v>
      </c>
      <c r="F7" s="7">
        <f>COUNTIFS('任務清單'!$B:$B,$A7,'任務清單'!$F:$F,F$5)</f>
        <v>0</v>
      </c>
      <c r="G7" s="7">
        <f>COUNTIFS('任務清單'!$B:$B,$A7,'任務清單'!$F:$F,G$5)</f>
        <v>0</v>
      </c>
      <c r="H7" s="7">
        <f>COUNTIFS('任務清單'!$B:$B,$A7,'任務清單'!$F:$F,H$5)</f>
        <v>0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11</v>
      </c>
      <c r="D8" s="7">
        <f>COUNTIFS('任務清單'!$B:$B,$A8,'任務清單'!$F:$F,D$5)</f>
        <v>7</v>
      </c>
      <c r="E8" s="7">
        <f>COUNTIFS('任務清單'!$B:$B,$A8,'任務清單'!$F:$F,E$5)</f>
        <v>1</v>
      </c>
      <c r="F8" s="7">
        <f>COUNTIFS('任務清單'!$B:$B,$A8,'任務清單'!$F:$F,F$5)</f>
        <v>3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0.2727272727272727</v>
      </c>
    </row>
    <row r="9" ht="18" customHeight="1">
      <c r="A9" s="5" t="inlineStr">
        <is>
          <t>R</t>
        </is>
      </c>
      <c r="B9" s="6" t="inlineStr">
        <is>
          <t>產品與上市：3 個月內出 100–500 台</t>
        </is>
      </c>
      <c r="C9" s="7">
        <f>COUNTIF('任務清單'!$B:$B,$A9)</f>
        <v>17</v>
      </c>
      <c r="D9" s="7">
        <f>COUNTIFS('任務清單'!$B:$B,$A9,'任務清單'!$F:$F,D$5)</f>
        <v>12</v>
      </c>
      <c r="E9" s="7">
        <f>COUNTIFS('任務清單'!$B:$B,$A9,'任務清單'!$F:$F,E$5)</f>
        <v>2</v>
      </c>
      <c r="F9" s="7">
        <f>COUNTIFS('任務清單'!$B:$B,$A9,'任務清單'!$F:$F,F$5)</f>
        <v>1</v>
      </c>
      <c r="G9" s="7">
        <f>COUNTIFS('任務清單'!$B:$B,$A9,'任務清單'!$F:$F,G$5)</f>
        <v>2</v>
      </c>
      <c r="H9" s="7">
        <f>COUNTIFS('任務清單'!$B:$B,$A9,'任務清單'!$F:$F,H$5)</f>
        <v>0</v>
      </c>
      <c r="I9" s="8">
        <f>IFERROR(F9/(C9-H9),0)</f>
        <v>0.058823529411764705</v>
      </c>
    </row>
    <row r="10">
      <c r="A10" s="5" t="inlineStr">
        <is>
          <t>合計</t>
        </is>
      </c>
      <c r="B10" s="6" t="n"/>
      <c r="C10" s="5">
        <f>SUM(C6:C9)</f>
        <v>56</v>
      </c>
      <c r="D10" s="5">
        <f>SUM(D6:D9)</f>
        <v>33</v>
      </c>
      <c r="E10" s="5">
        <f>SUM(E6:E9)</f>
        <v>16</v>
      </c>
      <c r="F10" s="5">
        <f>SUM(F6:F9)</f>
        <v>4</v>
      </c>
      <c r="G10" s="5">
        <f>SUM(G6:G9)</f>
        <v>2</v>
      </c>
      <c r="H10" s="5">
        <f>SUM(H6:H9)</f>
        <v>1</v>
      </c>
      <c r="I10" s="9">
        <f>IFERROR(F10/(C10-H10),0)</f>
        <v>0.07272727272727272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2</v>
      </c>
      <c r="E13" s="7">
        <f>COUNTIFS('任務清單'!$C:$C,$A13,'任務清單'!$F:$F,E$12)</f>
        <v>15</v>
      </c>
      <c r="F13" s="7">
        <f>COUNTIFS('任務清單'!$C:$C,$A13,'任務清單'!$F:$F,F$12)</f>
        <v>3</v>
      </c>
      <c r="G13" s="7">
        <f>COUNTIFS('任務清單'!$C:$C,$A13,'任務清單'!$F:$F,G$12)</f>
        <v>2</v>
      </c>
      <c r="H13" s="7">
        <f>COUNTIFS('任務清單'!$C:$C,$A13,'任務清單'!$F:$F,H$12)</f>
        <v>1</v>
      </c>
      <c r="I13" s="8">
        <f>IFERROR(F13/(C13-H13),0)</f>
        <v>0.13636363636363635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14</v>
      </c>
      <c r="D14" s="7">
        <f>COUNTIFS('任務清單'!$C:$C,$A14,'任務清單'!$F:$F,D$12)</f>
        <v>12</v>
      </c>
      <c r="E14" s="7">
        <f>COUNTIFS('任務清單'!$C:$C,$A14,'任務清單'!$F:$F,E$12)</f>
        <v>1</v>
      </c>
      <c r="F14" s="7">
        <f>COUNTIFS('任務清單'!$C:$C,$A14,'任務清單'!$F:$F,F$12)</f>
        <v>1</v>
      </c>
      <c r="G14" s="7">
        <f>COUNTIFS('任務清單'!$C:$C,$A14,'任務清單'!$F:$F,G$12)</f>
        <v>0</v>
      </c>
      <c r="H14" s="7">
        <f>COUNTIFS('任務清單'!$C:$C,$A14,'任務清單'!$F:$F,H$12)</f>
        <v>0</v>
      </c>
      <c r="I14" s="8">
        <f>IFERROR(F14/(C14-H14),0)</f>
        <v>0.07142857142857142</v>
      </c>
    </row>
    <row r="15" ht="32" customHeight="1">
      <c r="A15" s="5" t="inlineStr">
        <is>
          <t>3 封閉內測</t>
        </is>
      </c>
      <c r="B15" s="6" t="inlineStr">
        <is>
          <t>11/2–11/27：20 個家庭內測，並行送測認證與合規；11/27 CP2 出貨決策（R-08）</t>
        </is>
      </c>
      <c r="C15" s="7">
        <f>COUNTIF('任務清單'!$C:$C,$A15)</f>
        <v>13</v>
      </c>
      <c r="D15" s="7">
        <f>COUNTIFS('任務清單'!$C:$C,$A15,'任務清單'!$F:$F,D$12)</f>
        <v>13</v>
      </c>
      <c r="E15" s="7">
        <f>COUNTIFS('任務清單'!$C:$C,$A15,'任務清單'!$F:$F,E$12)</f>
        <v>0</v>
      </c>
      <c r="F15" s="7">
        <f>COUNTIFS('任務清單'!$C:$C,$A15,'任務清單'!$F:$F,F$12)</f>
        <v>0</v>
      </c>
      <c r="G15" s="7">
        <f>COUNTIFS('任務清單'!$C:$C,$A15,'任務清單'!$F:$F,G$12)</f>
        <v>0</v>
      </c>
      <c r="H15" s="7">
        <f>COUNTIFS('任務清單'!$C:$C,$A15,'任務清單'!$F:$F,H$12)</f>
        <v>0</v>
      </c>
      <c r="I15" s="8">
        <f>IFERROR(F15/(C15-H15),0)</f>
        <v>0.0</v>
      </c>
    </row>
    <row r="16" ht="46" customHeight="1">
      <c r="A16" s="5" t="inlineStr">
        <is>
          <t>4 量產出貨</t>
        </is>
      </c>
      <c r="B16" s="6" t="inlineStr">
        <is>
          <t>11/30–12/26：量產外殼、出廠流程、壓測、售後；12/26 內部目標，緩衝至 1/15 生產死線、1/29 交付死線（農曆新年 2/6 前）</t>
        </is>
      </c>
      <c r="C16" s="7">
        <f>COUNTIF('任務清單'!$C:$C,$A16)</f>
        <v>6</v>
      </c>
      <c r="D16" s="7">
        <f>COUNTIFS('任務清單'!$C:$C,$A16,'任務清單'!$F:$F,D$12)</f>
        <v>6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56</v>
      </c>
      <c r="D17" s="5">
        <f>SUM(D13:D16)</f>
        <v>33</v>
      </c>
      <c r="E17" s="5">
        <f>SUM(E13:E16)</f>
        <v>16</v>
      </c>
      <c r="F17" s="5">
        <f>SUM(F13:F16)</f>
        <v>4</v>
      </c>
      <c r="G17" s="5">
        <f>SUM(G13:G16)</f>
        <v>2</v>
      </c>
      <c r="H17" s="5">
        <f>SUM(H13:H16)</f>
        <v>1</v>
      </c>
      <c r="I17" s="9">
        <f>IFERROR(F17/(C17-H17),0)</f>
        <v>0.07272727272727272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30" customHeight="1">
      <c r="A21" s="13" t="inlineStr">
        <is>
          <t>P0-02</t>
        </is>
      </c>
      <c r="B21" s="6" t="inlineStr">
        <is>
          <t>收緊 conversations 表的 RLS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上次測試：通過 — 本機：pg_policies 只剩擁有者 SELECT/DELETE，無 qual=true；publishable key GET/INSERT conversations → 42501；GoTrue 用戶 A 讀自己 2 行、讀 B 0 行，INSERT/UPDATE → 42501；store.insert_conversation_turn（service_role）寫入 user/assistant 兩行成功
刪除該 policy；authenticated 只能 SELECT／DELETE 自己 user_id 的行；寫入只經 service_role；anon 無任何存取。</t>
        </is>
      </c>
      <c r="F21" s="11" t="n"/>
      <c r="G21" s="11" t="n"/>
      <c r="H21" s="11" t="n"/>
      <c r="I21" s="12" t="n"/>
    </row>
    <row r="22" ht="116" customHeight="1">
      <c r="A22" s="13" t="inlineStr">
        <is>
          <t>P0-03</t>
        </is>
      </c>
      <c r="B22" s="6" t="inlineStr">
        <is>
          <t>收緊 users 表的 RLS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上次測試：通過 — 本機：anon GET/PATCH users → 42501；A 讀 B、改 B 均 0 行；A 改自己的 is_premium/email/device_id → 42501；網頁實測（publishable key）：首次登入建行成功，設定頁保存姓名/年齡/描述 → DB 已更新；用別人 email 建行 → RLS 拒絕
移除 anon UPDATE 與公開 SELECT；用戶只能讀、改自己那一行；service_role 不受影響。</t>
        </is>
      </c>
      <c r="F22" s="11" t="n"/>
      <c r="G22" s="11" t="n"/>
      <c r="H22" s="11" t="n"/>
      <c r="I22" s="12" t="n"/>
    </row>
    <row r="23" ht="102" customHeight="1">
      <c r="A23" s="13" t="inlineStr">
        <is>
          <t>P0-04</t>
        </is>
      </c>
      <c r="B23" s="6" t="inlineStr">
        <is>
          <t>收緊 devices 表的 RLS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上次測試：通過 — 本機：anon GET/PATCH devices → 42501；A 改 B 的 user_id、直接認領無主設備、INSERT → 42501；網頁實測：無主清單 Claim → devices.user_id 與 users.device_id 已寫入，音量 70→3，Unbind 清空，輸入配對碼綁定成功
只有擁有者可讀自己的設備；認領、解綁改走 server action + service_role；anon 無存取。</t>
        </is>
      </c>
      <c r="F23" s="11" t="n"/>
      <c r="G23" s="11" t="n"/>
      <c r="H23" s="11" t="n"/>
      <c r="I23" s="12" t="n"/>
    </row>
    <row r="24" ht="102" customHeight="1">
      <c r="A24" s="13" t="inlineStr">
        <is>
          <t>P0-05</t>
        </is>
      </c>
      <c r="B24" s="6" t="inlineStr">
        <is>
          <t>撤銷敏感表的多餘授權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上次測試：通過 — 本機 role_table_grants：anon 對三表 0 筆；authenticated＝users SELECT＋欄位級 INSERT/UPDATE、devices SELECT＋UPDATE(volume,is_reset,is_ota)、conversations SELECT/DELETE，三表都沒有 TRUNCATE
anon 對這三張表沒有任何權限；authenticated 只保留必要權限，沒有 TRUNCATE。</t>
        </is>
      </c>
      <c r="F24" s="11" t="n"/>
      <c r="G24" s="11" t="n"/>
      <c r="H24" s="11" t="n"/>
      <c r="I24" s="12" t="n"/>
    </row>
    <row r="25" ht="144" customHeight="1">
      <c r="A25" s="13" t="inlineStr">
        <is>
          <t>P0-06</t>
        </is>
      </c>
      <c r="B25" s="6" t="inlineStr">
        <is>
          <t>停止憑 MAC 發放永久用戶 JWT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
設備首次連線時一次性下發設備密鑰；之後用密鑰換短期（≤24 小時）設備 token，權限只限設備本身，不再是家長 session。</t>
        </is>
      </c>
      <c r="F25" s="11" t="n"/>
      <c r="G25" s="11" t="n"/>
      <c r="H25" s="11" t="n"/>
      <c r="I25" s="12" t="n"/>
    </row>
    <row r="26" ht="116" customHeight="1">
      <c r="A26" s="13" t="inlineStr">
        <is>
          <t>P0-08</t>
        </is>
      </c>
      <c r="B26" s="6" t="inlineStr">
        <is>
          <t>語音伺服器驗證設備身份（/ws/esp32）</t>
        </is>
      </c>
      <c r="C26" s="13" t="inlineStr">
        <is>
          <t>1 止血定案</t>
        </is>
      </c>
      <c r="D26" s="13" t="inlineStr">
        <is>
          <t>進行中</t>
        </is>
      </c>
      <c r="E26" s="6" t="inlineStr">
        <is>
          <t>上次測試：通過 — 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
驗證設備 token 的簽名與有效期，設備身份取自 token 而不是 header；無效就以 4401 關閉連線。</t>
        </is>
      </c>
      <c r="F26" s="11" t="n"/>
      <c r="G26" s="11" t="n"/>
      <c r="H26" s="11" t="n"/>
      <c r="I26" s="12" t="n"/>
    </row>
    <row r="27" ht="186" customHeight="1">
      <c r="A27" s="13" t="inlineStr">
        <is>
          <t>P0-09</t>
        </is>
      </c>
      <c r="B27" s="6" t="inlineStr">
        <is>
          <t>瀏覽器語音路由改用簽名 token（/ws/nextjs）</t>
        </is>
      </c>
      <c r="C27" s="13" t="inlineStr">
        <is>
          <t>1 止血定案</t>
        </is>
      </c>
      <c r="D27" s="13" t="inlineStr">
        <is>
          <t>進行中</t>
        </is>
      </c>
      <c r="E27" s="6" t="inlineStr">
        <is>
          <t>上次測試：通過 — 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
Next.js 為已登入用戶簽發 ≤5 分鐘的 token，FastAPI 驗證後才取 user_id；角色與 prompt 由伺服器端按帳號讀取。</t>
        </is>
      </c>
      <c r="F27" s="11" t="n"/>
      <c r="G27" s="11" t="n"/>
      <c r="H27" s="11" t="n"/>
      <c r="I27" s="12" t="n"/>
    </row>
    <row r="28" ht="130" customHeight="1">
      <c r="A28" s="13" t="inlineStr">
        <is>
          <t>P0-10</t>
        </is>
      </c>
      <c r="B28" s="6" t="inlineStr">
        <is>
          <t>生產環境關閉 /browser 測試頁與 /ws/browser</t>
        </is>
      </c>
      <c r="C28" s="13" t="inlineStr">
        <is>
          <t>1 止血定案</t>
        </is>
      </c>
      <c r="D28" s="13" t="inlineStr">
        <is>
          <t>進行中</t>
        </is>
      </c>
      <c r="E28" s="6" t="inlineStr">
        <is>
          <t>上次測試：通過 — 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
預設關閉；只有顯式設定開關（例如 ENABLE_BROWSER_TEST=true）時才註冊這兩個路由。</t>
        </is>
      </c>
      <c r="F28" s="11" t="n"/>
      <c r="G28" s="11" t="n"/>
      <c r="H28" s="11" t="n"/>
      <c r="I28" s="12" t="n"/>
    </row>
    <row r="29" ht="298" customHeight="1">
      <c r="A29" s="13" t="inlineStr">
        <is>
          <t>P0-12</t>
        </is>
      </c>
      <c r="B29" s="6" t="inlineStr">
        <is>
          <t>收緊 Admin 權限與路由保護</t>
        </is>
      </c>
      <c r="C29" s="13" t="inlineStr">
        <is>
          <t>1 止血定案</t>
        </is>
      </c>
      <c r="D29" s="13" t="inlineStr">
        <is>
          <t>進行中</t>
        </is>
      </c>
      <c r="E29" s="6" t="inlineStr">
        <is>
          <t>上次測試：通過 — 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
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F29" s="11" t="n"/>
      <c r="G29" s="11" t="n"/>
      <c r="H29" s="11" t="n"/>
      <c r="I29" s="12" t="n"/>
    </row>
    <row r="30" ht="172" customHeight="1">
      <c r="A30" s="13" t="inlineStr">
        <is>
          <t>P0-15</t>
        </is>
      </c>
      <c r="B30" s="6" t="inlineStr">
        <is>
          <t>角色表權限：只有內容管理員能發佈，關閉家長自建角色</t>
        </is>
      </c>
      <c r="C30" s="13" t="inlineStr">
        <is>
          <t>1 止血定案</t>
        </is>
      </c>
      <c r="D30" s="13" t="inlineStr">
        <is>
          <t>進行中</t>
        </is>
      </c>
      <c r="E30" s="6" t="inlineStr">
        <is>
          <t>上次測試：部分通過 — 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
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F30" s="11" t="n"/>
      <c r="G30" s="11" t="n"/>
      <c r="H30" s="11" t="n"/>
      <c r="I30" s="12" t="n"/>
    </row>
    <row r="31" ht="186" customHeight="1">
      <c r="A31" s="13" t="inlineStr">
        <is>
          <t>P0-16</t>
        </is>
      </c>
      <c r="B31" s="6" t="inlineStr">
        <is>
          <t>移除「醫生」身份與寫死的通關碼</t>
        </is>
      </c>
      <c r="C31" s="13" t="inlineStr">
        <is>
          <t>1 止血定案</t>
        </is>
      </c>
      <c r="D31" s="13" t="inlineStr">
        <is>
          <t>進行中</t>
        </is>
      </c>
      <c r="E31" s="6" t="inlineStr">
        <is>
          <t>上次測試：通過 — 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
移除 checkDoctorAction 和所有 doctor 身份的分支；程式碼裡沒有任何通關碼；is_doctor 角色隱藏（配合 R-02）。</t>
        </is>
      </c>
      <c r="F31" s="11" t="n"/>
      <c r="G31" s="11" t="n"/>
      <c r="H31" s="11" t="n"/>
      <c r="I31" s="12" t="n"/>
    </row>
    <row r="32" ht="172" customHeight="1">
      <c r="A32" s="13" t="inlineStr">
        <is>
          <t>P0-17</t>
        </is>
      </c>
      <c r="B32" s="6" t="inlineStr">
        <is>
          <t>前端的 anon key 必須是公開 key，不可是 secret／service_role</t>
        </is>
      </c>
      <c r="C32" s="13" t="inlineStr">
        <is>
          <t>1 止血定案</t>
        </is>
      </c>
      <c r="D32" s="13" t="inlineStr">
        <is>
          <t>進行中</t>
        </is>
      </c>
      <c r="E32" s="6" t="inlineStr">
        <is>
          <t>上次測試：部分通過 — 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
本機與線上的 NEXT_PUBLIC_SUPABASE_ANON_KEY 都是 sb_publishable_ 開頭或 role=anon 的 JWT；瀏覽器 JS bundle 裡沒有 sb_secret_，也沒有 role=service_role 的 JWT；若線上曾外洩 secret key，已輪換。</t>
        </is>
      </c>
      <c r="F32" s="11" t="n"/>
      <c r="G32" s="11" t="n"/>
      <c r="H32" s="11" t="n"/>
      <c r="I32" s="12" t="n"/>
    </row>
    <row r="33" ht="228" customHeight="1">
      <c r="A33" s="13" t="inlineStr">
        <is>
          <t>P2-10</t>
        </is>
      </c>
      <c r="B33" s="6" t="inlineStr">
        <is>
          <t>DeepSeek v4 flash 經 OpenRouter 時固定可用的供應商</t>
        </is>
      </c>
      <c r="C33" s="13" t="inlineStr">
        <is>
          <t>1 止血定案</t>
        </is>
      </c>
      <c r="D33" s="13" t="inlineStr">
        <is>
          <t>進行中</t>
        </is>
      </c>
      <c r="E3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33" s="11" t="n"/>
      <c r="G33" s="11" t="n"/>
      <c r="H33" s="11" t="n"/>
      <c r="I33" s="12" t="n"/>
    </row>
    <row r="34" ht="60" customHeight="1">
      <c r="A34" s="13" t="inlineStr">
        <is>
          <t>R-01</t>
        </is>
      </c>
      <c r="B34" s="6" t="inlineStr">
        <is>
          <t>選定量產板子</t>
        </is>
      </c>
      <c r="C34" s="13" t="inlineStr">
        <is>
          <t>1 止血定案</t>
        </is>
      </c>
      <c r="D34" s="13" t="inlineStr">
        <is>
          <t>進行中</t>
        </is>
      </c>
      <c r="E3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34" s="11" t="n"/>
      <c r="G34" s="11" t="n"/>
      <c r="H34" s="11" t="n"/>
      <c r="I34" s="12" t="n"/>
    </row>
    <row r="35" ht="172" customHeight="1">
      <c r="A35" s="13" t="inlineStr">
        <is>
          <t>R-02</t>
        </is>
      </c>
      <c r="B35" s="6" t="inlineStr">
        <is>
          <t>角色收窄到 5–8 個粵語陪伴角色</t>
        </is>
      </c>
      <c r="C35" s="13" t="inlineStr">
        <is>
          <t>1 止血定案</t>
        </is>
      </c>
      <c r="D35" s="13" t="inlineStr">
        <is>
          <t>進行中</t>
        </is>
      </c>
      <c r="E3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35" s="11" t="n"/>
      <c r="G35" s="11" t="n"/>
      <c r="H35" s="11" t="n"/>
      <c r="I35" s="12" t="n"/>
    </row>
    <row r="36" ht="186" customHeight="1">
      <c r="A36" s="13" t="inlineStr">
        <is>
          <t>P0-13</t>
        </is>
      </c>
      <c r="B36" s="6" t="inlineStr">
        <is>
          <t>讓 OTA 真正可用並能回滾</t>
        </is>
      </c>
      <c r="C36" s="13" t="inlineStr">
        <is>
          <t>2 內測準備</t>
        </is>
      </c>
      <c r="D36" s="13" t="inlineStr">
        <is>
          <t>進行中</t>
        </is>
      </c>
      <c r="E36" s="6" t="inlineStr">
        <is>
          <t>上次測試：通過 — 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
填入真實 URL 與 CA；新韌體啟動自檢通過才標記有效，否則自動回滾；設備上報韌體版本。</t>
        </is>
      </c>
      <c r="F36" s="11" t="n"/>
      <c r="G36" s="11" t="n"/>
      <c r="H36" s="11" t="n"/>
      <c r="I36" s="12" t="n"/>
    </row>
    <row r="37" ht="60" customHeight="1">
      <c r="A37" s="13" t="inlineStr">
        <is>
          <t>P1-01</t>
        </is>
      </c>
      <c r="B37" s="6" t="inlineStr">
        <is>
          <t>加入內容審核層（輸入與輸出）</t>
        </is>
      </c>
      <c r="C37" s="13" t="inlineStr">
        <is>
          <t>2 內測準備</t>
        </is>
      </c>
      <c r="D37" s="13" t="inlineStr">
        <is>
          <t>未開始</t>
        </is>
      </c>
      <c r="E37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F37" s="11" t="n"/>
      <c r="G37" s="11" t="n"/>
      <c r="H37" s="11" t="n"/>
      <c r="I37" s="12" t="n"/>
    </row>
    <row r="38" ht="32" customHeight="1">
      <c r="A38" s="13" t="inlineStr">
        <is>
          <t>P1-02</t>
        </is>
      </c>
      <c r="B38" s="6" t="inlineStr">
        <is>
          <t>日誌移除兒童個人資料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生產日誌只記 ID、長度、類別，不記內容；內容只在 DEBUG 等級輸出，生產不開 DEBUG。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P1-09</t>
        </is>
      </c>
      <c r="B39" s="6" t="inlineStr">
        <is>
          <t>家長鎖：孩子模式進設定要輸入 PIN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F39" s="11" t="n"/>
      <c r="G39" s="11" t="n"/>
      <c r="H39" s="11" t="n"/>
      <c r="I39" s="12" t="n"/>
    </row>
    <row r="40" ht="46" customHeight="1">
      <c r="A40" s="13" t="inlineStr">
        <is>
          <t>P1-11</t>
        </is>
      </c>
      <c r="B40" s="6" t="inlineStr">
        <is>
          <t>伺服器與資料庫直接存取的管控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40" s="11" t="n"/>
      <c r="G40" s="11" t="n"/>
      <c r="H40" s="11" t="n"/>
      <c r="I40" s="12" t="n"/>
    </row>
    <row r="41" ht="46" customHeight="1">
      <c r="A41" s="13" t="inlineStr">
        <is>
          <t>P2-02</t>
        </is>
      </c>
      <c r="B41" s="6" t="inlineStr">
        <is>
          <t>CI 跑測試與靜態檢查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推送與 PR 時跑 pytest、ruff、pyright、next lint、tsc --noEmit、pio run；任何一項失敗就不發佈 image。</t>
        </is>
      </c>
      <c r="F41" s="11" t="n"/>
      <c r="G41" s="11" t="n"/>
      <c r="H41" s="11" t="n"/>
      <c r="I41" s="12" t="n"/>
    </row>
    <row r="42" ht="32" customHeight="1">
      <c r="A42" s="13" t="inlineStr">
        <is>
          <t>P2-04</t>
        </is>
      </c>
      <c r="B42" s="6" t="inlineStr">
        <is>
          <t>容器改用非 root 用戶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兩個 Dockerfile 都設定非 root 的 USER。</t>
        </is>
      </c>
      <c r="F42" s="11" t="n"/>
      <c r="G42" s="11" t="n"/>
      <c r="H42" s="11" t="n"/>
      <c r="I42" s="12" t="n"/>
    </row>
    <row r="44">
      <c r="A44" s="10" t="inlineStr">
        <is>
          <t>✅ 最近完成與測試效果</t>
        </is>
      </c>
    </row>
    <row r="45">
      <c r="A45" s="4" t="inlineStr">
        <is>
          <t>編號</t>
        </is>
      </c>
      <c r="B45" s="4" t="inlineStr">
        <is>
          <t>任務</t>
        </is>
      </c>
      <c r="C45" s="4" t="inlineStr">
        <is>
          <t>測試結果</t>
        </is>
      </c>
      <c r="D45" s="4" t="inlineStr">
        <is>
          <t>完成日期</t>
        </is>
      </c>
      <c r="E45" s="4" t="inlineStr">
        <is>
          <t>測試證據</t>
        </is>
      </c>
      <c r="F45" s="11" t="n"/>
      <c r="G45" s="11" t="n"/>
      <c r="H45" s="11" t="n"/>
      <c r="I45" s="12" t="n"/>
    </row>
    <row r="46" ht="88" customHeight="1">
      <c r="A46" s="13" t="inlineStr">
        <is>
          <t>P2-11</t>
        </is>
      </c>
      <c r="B46" s="6" t="inlineStr">
        <is>
          <t>C3 播放時 async_tcp 觸發任務看門狗重啟</t>
        </is>
      </c>
      <c r="C46" s="13" t="inlineStr">
        <is>
          <t>通過</t>
        </is>
      </c>
      <c r="D46" s="13" t="inlineStr">
        <is>
          <t>2026-10-08</t>
        </is>
      </c>
      <c r="E4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F46" s="11" t="n"/>
      <c r="G46" s="11" t="n"/>
      <c r="H46" s="11" t="n"/>
      <c r="I46" s="12" t="n"/>
    </row>
    <row r="47" ht="88" customHeight="1">
      <c r="A47" s="13" t="inlineStr">
        <is>
          <t>R-03</t>
        </is>
      </c>
      <c r="B47" s="6" t="inlineStr">
        <is>
          <t>移除不用的 Deno／Cloudflare 後端與上游預設主機</t>
        </is>
      </c>
      <c r="C47" s="13" t="inlineStr">
        <is>
          <t>通過</t>
        </is>
      </c>
      <c r="D47" s="13" t="inlineStr">
        <is>
          <t>2026-10-07</t>
        </is>
      </c>
      <c r="E47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F47" s="11" t="n"/>
      <c r="G47" s="11" t="n"/>
      <c r="H47" s="11" t="n"/>
      <c r="I47" s="12" t="n"/>
    </row>
    <row r="48" ht="88" customHeight="1">
      <c r="A48" s="13" t="inlineStr">
        <is>
          <t>P2-01</t>
        </is>
      </c>
      <c r="B48" s="6" t="inlineStr">
        <is>
          <t>修好後端測試環境</t>
        </is>
      </c>
      <c r="C48" s="13" t="inlineStr">
        <is>
          <t>通過</t>
        </is>
      </c>
      <c r="D48" s="13" t="inlineStr">
        <is>
          <t>2026-10-07</t>
        </is>
      </c>
      <c r="E48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F48" s="11" t="n"/>
      <c r="G48" s="11" t="n"/>
      <c r="H48" s="11" t="n"/>
      <c r="I48" s="12" t="n"/>
    </row>
    <row r="49" ht="60" customHeight="1">
      <c r="A49" s="13" t="inlineStr">
        <is>
          <t>P2-03</t>
        </is>
      </c>
      <c r="B49" s="6" t="inlineStr">
        <is>
          <t>提交目前未提交的改動</t>
        </is>
      </c>
      <c r="C49" s="13" t="inlineStr">
        <is>
          <t>通過</t>
        </is>
      </c>
      <c r="D49" s="13" t="inlineStr">
        <is>
          <t>2026-10-06</t>
        </is>
      </c>
      <c r="E49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F49" s="11" t="n"/>
      <c r="G49" s="11" t="n"/>
      <c r="H49" s="11" t="n"/>
      <c r="I49" s="12" t="n"/>
    </row>
    <row r="51">
      <c r="A51" s="10" t="inlineStr">
        <is>
          <t>⏳ 等待依賴 / ⛔ 阻塞</t>
        </is>
      </c>
    </row>
    <row r="52">
      <c r="A52" s="4" t="inlineStr">
        <is>
          <t>編號</t>
        </is>
      </c>
      <c r="B52" s="4" t="inlineStr">
        <is>
          <t>任務</t>
        </is>
      </c>
      <c r="C52" s="4" t="inlineStr">
        <is>
          <t>在等什麼</t>
        </is>
      </c>
      <c r="D52" s="11" t="n"/>
      <c r="E52" s="11" t="n"/>
      <c r="F52" s="11" t="n"/>
      <c r="G52" s="11" t="n"/>
      <c r="H52" s="11" t="n"/>
      <c r="I52" s="12" t="n"/>
    </row>
    <row r="53" ht="60" customHeight="1">
      <c r="A53" s="13" t="inlineStr">
        <is>
          <t>R-16</t>
        </is>
      </c>
      <c r="B53" s="6" t="inlineStr">
        <is>
          <t>Spotpear 量產版加電池電壓檢測（GPIO0 分壓）</t>
        </is>
      </c>
      <c r="C53" s="6" t="inlineStr">
        <is>
          <t>阻塞：[2026-10-07]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  <c r="D53" s="11" t="n"/>
      <c r="E53" s="11" t="n"/>
      <c r="F53" s="11" t="n"/>
      <c r="G53" s="11" t="n"/>
      <c r="H53" s="11" t="n"/>
      <c r="I53" s="12" t="n"/>
    </row>
    <row r="54" ht="88" customHeight="1">
      <c r="A54" s="13" t="inlineStr">
        <is>
          <t>R-17</t>
        </is>
      </c>
      <c r="B54" s="6" t="inlineStr">
        <is>
          <t>Spotpear 電池耗盡時插電能否正常開機（供電路徑）</t>
        </is>
      </c>
      <c r="C54" s="6" t="inlineStr">
        <is>
          <t>阻塞：[2026-10-07]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  <c r="D54" s="11" t="n"/>
      <c r="E54" s="11" t="n"/>
      <c r="F54" s="11" t="n"/>
      <c r="G54" s="11" t="n"/>
      <c r="H54" s="11" t="n"/>
      <c r="I54" s="12" t="n"/>
    </row>
    <row r="55" ht="18" customHeight="1">
      <c r="A55" s="13" t="inlineStr">
        <is>
          <t>P0-07</t>
        </is>
      </c>
      <c r="B55" s="6" t="inlineStr">
        <is>
          <t>輪換 JWT secret，作廢已發出的 token</t>
        </is>
      </c>
      <c r="C55" s="6" t="inlineStr">
        <is>
          <t>等 P0-06</t>
        </is>
      </c>
      <c r="D55" s="11" t="n"/>
      <c r="E55" s="11" t="n"/>
      <c r="F55" s="11" t="n"/>
      <c r="G55" s="11" t="n"/>
      <c r="H55" s="11" t="n"/>
      <c r="I55" s="12" t="n"/>
    </row>
    <row r="56" ht="18" customHeight="1">
      <c r="A56" s="13" t="inlineStr">
        <is>
          <t>P0-11</t>
        </is>
      </c>
      <c r="B56" s="6" t="inlineStr">
        <is>
          <t>設備認領要求持有證明</t>
        </is>
      </c>
      <c r="C56" s="6" t="inlineStr">
        <is>
          <t>等 P0-06</t>
        </is>
      </c>
      <c r="D56" s="11" t="n"/>
      <c r="E56" s="11" t="n"/>
      <c r="F56" s="11" t="n"/>
      <c r="G56" s="11" t="n"/>
      <c r="H56" s="11" t="n"/>
      <c r="I56" s="12" t="n"/>
    </row>
    <row r="57" ht="18" customHeight="1">
      <c r="A57" s="13" t="inlineStr">
        <is>
          <t>P1-10</t>
        </is>
      </c>
      <c r="B57" s="6" t="inlineStr">
        <is>
          <t>管理操作審計記錄</t>
        </is>
      </c>
      <c r="C57" s="6" t="inlineStr">
        <is>
          <t>等 P0-12</t>
        </is>
      </c>
      <c r="D57" s="11" t="n"/>
      <c r="E57" s="11" t="n"/>
      <c r="F57" s="11" t="n"/>
      <c r="G57" s="11" t="n"/>
      <c r="H57" s="11" t="n"/>
      <c r="I57" s="12" t="n"/>
    </row>
    <row r="58" ht="18" customHeight="1">
      <c r="A58" s="13" t="inlineStr">
        <is>
          <t>R-05</t>
        </is>
      </c>
      <c r="B58" s="6" t="inlineStr">
        <is>
          <t>內測版外殼（3D 打印 20 台）</t>
        </is>
      </c>
      <c r="C58" s="6" t="inlineStr">
        <is>
          <t>等 R-01</t>
        </is>
      </c>
      <c r="D58" s="11" t="n"/>
      <c r="E58" s="11" t="n"/>
      <c r="F58" s="11" t="n"/>
      <c r="G58" s="11" t="n"/>
      <c r="H58" s="11" t="n"/>
      <c r="I58" s="12" t="n"/>
    </row>
    <row r="59" ht="18" customHeight="1">
      <c r="A59" s="13" t="inlineStr">
        <is>
          <t>R-06</t>
        </is>
      </c>
      <c r="B59" s="6" t="inlineStr">
        <is>
          <t>家長自助上手流程</t>
        </is>
      </c>
      <c r="C59" s="6" t="inlineStr">
        <is>
          <t>等 P0-11</t>
        </is>
      </c>
      <c r="D59" s="11" t="n"/>
      <c r="E59" s="11" t="n"/>
      <c r="F59" s="11" t="n"/>
      <c r="G59" s="11" t="n"/>
      <c r="H59" s="11" t="n"/>
      <c r="I59" s="12" t="n"/>
    </row>
    <row r="60" ht="46" customHeight="1">
      <c r="A60" s="13" t="inlineStr">
        <is>
          <t>R-13</t>
        </is>
      </c>
      <c r="B60" s="6" t="inlineStr">
        <is>
          <t>CP1 內測就緒檢查（10/30）</t>
        </is>
      </c>
      <c r="C60" s="6" t="inlineStr">
        <is>
          <t>等 P0-02、P0-03、P0-04、P0-05、P0-06、P0-07、P0-08、P0-09、P0-10、P0-11、P0-12、P0-13、P1-01、P1-02、P2-09、R-01、R-02、R-04、R-05、R-06、P0-15、P0-16、P1-09、P1-11</t>
        </is>
      </c>
      <c r="D60" s="11" t="n"/>
      <c r="E60" s="11" t="n"/>
      <c r="F60" s="11" t="n"/>
      <c r="G60" s="11" t="n"/>
      <c r="H60" s="11" t="n"/>
      <c r="I60" s="12" t="n"/>
    </row>
    <row r="61" ht="18" customHeight="1">
      <c r="A61" s="13" t="inlineStr">
        <is>
          <t>P0-14</t>
        </is>
      </c>
      <c r="B61" s="6" t="inlineStr">
        <is>
          <t>韌體簽章、Secure Boot 與 Flash 加密</t>
        </is>
      </c>
      <c r="C61" s="6" t="inlineStr">
        <is>
          <t>等 P0-13、R-01</t>
        </is>
      </c>
      <c r="D61" s="11" t="n"/>
      <c r="E61" s="11" t="n"/>
      <c r="F61" s="11" t="n"/>
      <c r="G61" s="11" t="n"/>
      <c r="H61" s="11" t="n"/>
      <c r="I61" s="12" t="n"/>
    </row>
    <row r="62" ht="18" customHeight="1">
      <c r="A62" s="13" t="inlineStr">
        <is>
          <t>P1-06</t>
        </is>
      </c>
      <c r="B62" s="6" t="inlineStr">
        <is>
          <t>處理 GPL-3.0 依賴（arduino-audio-tools）</t>
        </is>
      </c>
      <c r="C62" s="6" t="inlineStr">
        <is>
          <t>等 Q3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P1-07</t>
        </is>
      </c>
      <c r="B63" s="6" t="inlineStr">
        <is>
          <t>LGPL 合規與第三方授權聲明</t>
        </is>
      </c>
      <c r="C63" s="6" t="inlineStr">
        <is>
          <t>等 Q3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P1-08</t>
        </is>
      </c>
      <c r="B64" s="6" t="inlineStr">
        <is>
          <t>硬件認證</t>
        </is>
      </c>
      <c r="C64" s="6" t="inlineStr">
        <is>
          <t>等 R-01、R-05</t>
        </is>
      </c>
      <c r="D64" s="11" t="n"/>
      <c r="E64" s="11" t="n"/>
      <c r="F64" s="11" t="n"/>
      <c r="G64" s="11" t="n"/>
      <c r="H64" s="11" t="n"/>
      <c r="I64" s="12" t="n"/>
    </row>
    <row r="65" ht="18" customHeight="1">
      <c r="A65" s="13" t="inlineStr">
        <is>
          <t>R-07</t>
        </is>
      </c>
      <c r="B65" s="6" t="inlineStr">
        <is>
          <t>20 個家庭封閉內測</t>
        </is>
      </c>
      <c r="C65" s="6" t="inlineStr">
        <is>
          <t>等 R-13</t>
        </is>
      </c>
      <c r="D65" s="11" t="n"/>
      <c r="E65" s="11" t="n"/>
      <c r="F65" s="11" t="n"/>
      <c r="G65" s="11" t="n"/>
      <c r="H65" s="11" t="n"/>
      <c r="I65" s="12" t="n"/>
    </row>
    <row r="66" ht="18" customHeight="1">
      <c r="A66" s="13" t="inlineStr">
        <is>
          <t>R-08</t>
        </is>
      </c>
      <c r="B66" s="6" t="inlineStr">
        <is>
          <t>第 8 週關卡決策</t>
        </is>
      </c>
      <c r="C66" s="6" t="inlineStr">
        <is>
          <t>等 R-07、P2-09、P1-08</t>
        </is>
      </c>
      <c r="D66" s="11" t="n"/>
      <c r="E66" s="11" t="n"/>
      <c r="F66" s="11" t="n"/>
      <c r="G66" s="11" t="n"/>
      <c r="H66" s="11" t="n"/>
      <c r="I66" s="12" t="n"/>
    </row>
    <row r="67" ht="18" customHeight="1">
      <c r="A67" s="13" t="inlineStr">
        <is>
          <t>R-14</t>
        </is>
      </c>
      <c r="B67" s="6" t="inlineStr">
        <is>
          <t>離線兒歌與故事</t>
        </is>
      </c>
      <c r="C67" s="6" t="inlineStr">
        <is>
          <t>等 R-01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P2-05</t>
        </is>
      </c>
      <c r="B68" s="6" t="inlineStr">
        <is>
          <t>拒絕未知設備並限制用量</t>
        </is>
      </c>
      <c r="C68" s="6" t="inlineStr">
        <is>
          <t>等 P0-08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R-09</t>
        </is>
      </c>
      <c r="B69" s="6" t="inlineStr">
        <is>
          <t>量產外殼（真空複模）</t>
        </is>
      </c>
      <c r="C69" s="6" t="inlineStr">
        <is>
          <t>等 R-08、R-05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R-10</t>
        </is>
      </c>
      <c r="B70" s="6" t="inlineStr">
        <is>
          <t>出廠流程</t>
        </is>
      </c>
      <c r="C70" s="6" t="inlineStr">
        <is>
          <t>等 P0-06、P0-14、R-01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R-15</t>
        </is>
      </c>
      <c r="B71" s="6" t="inlineStr">
        <is>
          <t>農曆新年前交付（生產 1/15、送達 1/29）</t>
        </is>
      </c>
      <c r="C71" s="6" t="inlineStr">
        <is>
          <t>等 R-09、R-10</t>
        </is>
      </c>
      <c r="D71" s="11" t="n"/>
      <c r="E71" s="11" t="n"/>
      <c r="F71" s="11" t="n"/>
      <c r="G71" s="11" t="n"/>
      <c r="H71" s="11" t="n"/>
      <c r="I71" s="12" t="n"/>
    </row>
    <row r="73">
      <c r="A73" s="10" t="inlineStr">
        <is>
          <t>❓ 待確認問題</t>
        </is>
      </c>
    </row>
    <row r="74">
      <c r="A74" s="4" t="inlineStr">
        <is>
          <t>編號</t>
        </is>
      </c>
      <c r="B74" s="4" t="inlineStr">
        <is>
          <t>問題</t>
        </is>
      </c>
      <c r="C74" s="4" t="inlineStr">
        <is>
          <t>影響的任務 / 為什麼重要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Q3</t>
        </is>
      </c>
      <c r="B75" s="6" t="inlineStr">
        <is>
          <t>韌體打算閉源商業銷售嗎？</t>
        </is>
      </c>
      <c r="C75" s="6" t="inlineStr">
        <is>
          <t>P1-06, P1-07：決定 GPL／LGPL 依賴要開源還是替換。</t>
        </is>
      </c>
      <c r="D75" s="11" t="n"/>
      <c r="E75" s="11" t="n"/>
      <c r="F75" s="11" t="n"/>
      <c r="G75" s="11" t="n"/>
      <c r="H75" s="11" t="n"/>
      <c r="I75" s="12" t="n"/>
    </row>
    <row r="77">
      <c r="A77" s="10" t="inlineStr">
        <is>
          <t>說明</t>
        </is>
      </c>
    </row>
    <row r="78" ht="32" customHeight="1">
      <c r="A78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79" ht="18" customHeight="1">
      <c r="A79" s="14" t="inlineStr">
        <is>
          <t>・測試結果：未測試 / 通過 / 失敗 / 部分通過。測試證據寫跑了什麼、看到什麼，完整歷史在「更新記錄」。</t>
        </is>
      </c>
    </row>
    <row r="80" ht="18" customHeight="1">
      <c r="A80" s="14" t="inlineStr">
        <is>
          <t>・「接下來」按階段排序，同一階段內再按優先級；依賴還沒滿足的任務不會出現在「接下來」。</t>
        </is>
      </c>
    </row>
    <row r="81" ht="18" customHeight="1">
      <c r="A81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82" ht="32" customHeight="1">
      <c r="A82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63">
    <mergeCell ref="E21:I21"/>
    <mergeCell ref="C61:I61"/>
    <mergeCell ref="C52:I52"/>
    <mergeCell ref="C70:I70"/>
    <mergeCell ref="E24:I24"/>
    <mergeCell ref="E42:I42"/>
    <mergeCell ref="A80:I80"/>
    <mergeCell ref="E33:I33"/>
    <mergeCell ref="A3:I3"/>
    <mergeCell ref="E23:I23"/>
    <mergeCell ref="E39:I39"/>
    <mergeCell ref="C67:I67"/>
    <mergeCell ref="E48:I48"/>
    <mergeCell ref="C57:I57"/>
    <mergeCell ref="C53:I53"/>
    <mergeCell ref="C66:I66"/>
    <mergeCell ref="A2:I2"/>
    <mergeCell ref="E29:I29"/>
    <mergeCell ref="E35:I35"/>
    <mergeCell ref="E20:I20"/>
    <mergeCell ref="E38:I38"/>
    <mergeCell ref="C69:I69"/>
    <mergeCell ref="E28:I28"/>
    <mergeCell ref="C62:I62"/>
    <mergeCell ref="C68:I68"/>
    <mergeCell ref="E31:I31"/>
    <mergeCell ref="E40:I40"/>
    <mergeCell ref="C58:I58"/>
    <mergeCell ref="E30:I30"/>
    <mergeCell ref="A81:I81"/>
    <mergeCell ref="E34:I34"/>
    <mergeCell ref="A19:I19"/>
    <mergeCell ref="C74:I74"/>
    <mergeCell ref="C64:I64"/>
    <mergeCell ref="E46:I46"/>
    <mergeCell ref="A44:I44"/>
    <mergeCell ref="E49:I49"/>
    <mergeCell ref="E27:I27"/>
    <mergeCell ref="E45:I45"/>
    <mergeCell ref="C54:I54"/>
    <mergeCell ref="A77:I77"/>
    <mergeCell ref="E36:I36"/>
    <mergeCell ref="C63:I63"/>
    <mergeCell ref="C65:I65"/>
    <mergeCell ref="E26:I26"/>
    <mergeCell ref="C55:I55"/>
    <mergeCell ref="A82:I82"/>
    <mergeCell ref="C75:I75"/>
    <mergeCell ref="A73:I73"/>
    <mergeCell ref="A51:I51"/>
    <mergeCell ref="C56:I56"/>
    <mergeCell ref="E32:I32"/>
    <mergeCell ref="E25:I25"/>
    <mergeCell ref="C59:I59"/>
    <mergeCell ref="A1:I1"/>
    <mergeCell ref="E41:I41"/>
    <mergeCell ref="A79:I79"/>
    <mergeCell ref="E37:I37"/>
    <mergeCell ref="C60:I60"/>
    <mergeCell ref="E22:I22"/>
    <mergeCell ref="E47:I47"/>
    <mergeCell ref="A78:I78"/>
    <mergeCell ref="C71:I71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7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進行中</t>
        </is>
      </c>
      <c r="G3" s="13" t="inlineStr">
        <is>
          <t>通過</t>
        </is>
      </c>
      <c r="H3" s="13" t="n"/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進行中</t>
        </is>
      </c>
      <c r="G4" s="13" t="inlineStr">
        <is>
          <t>通過</t>
        </is>
      </c>
      <c r="H4" s="13" t="n"/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進行中</t>
        </is>
      </c>
      <c r="G5" s="13" t="inlineStr">
        <is>
          <t>通過</t>
        </is>
      </c>
      <c r="H5" s="13" t="n"/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進行中</t>
        </is>
      </c>
      <c r="G6" s="13" t="inlineStr">
        <is>
          <t>通過</t>
        </is>
      </c>
      <c r="H6" s="13" t="n"/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進行中</t>
        </is>
      </c>
      <c r="G7" s="13" t="inlineStr">
        <is>
          <t>通過</t>
        </is>
      </c>
      <c r="H7" s="13" t="n"/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46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未開始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新 secret 生效；重發 anon／service_role key 並更新到前端與 FastAPI；所有設備重新配對。</t>
        </is>
      </c>
      <c r="L8" s="6" t="inlineStr">
        <is>
          <t>① 用舊 token 呼叫 REST 回 401
② 新流程端到端對話正常
③ Web 登入正常</t>
        </is>
      </c>
      <c r="M8" s="13" t="inlineStr">
        <is>
          <t>P0-06</t>
        </is>
      </c>
      <c r="N8" s="6" t="n"/>
      <c r="O8" s="13" t="n"/>
      <c r="P8" s="6" t="n"/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進行中</t>
        </is>
      </c>
      <c r="G9" s="13" t="inlineStr">
        <is>
          <t>通過</t>
        </is>
      </c>
      <c r="H9" s="13" t="n"/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158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進行中</t>
        </is>
      </c>
      <c r="G10" s="13" t="inlineStr">
        <is>
          <t>通過</t>
        </is>
      </c>
      <c r="H10" s="13" t="n"/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進行中</t>
        </is>
      </c>
      <c r="G11" s="13" t="inlineStr">
        <is>
          <t>通過</t>
        </is>
      </c>
      <c r="H11" s="13" t="n"/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172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未開始</t>
        </is>
      </c>
      <c r="G12" s="13" t="inlineStr">
        <is>
          <t>未測試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配對碼只回傳給持有設備密鑰的請求，由設備顯示或讀出；不再列出全球未認領設備；認領必須輸入配對碼，輸錯次數有上限。</t>
        </is>
      </c>
      <c r="L12" s="6" t="inlineStr">
        <is>
          <t>① 只知 MAC 拿不到配對碼
② 連續輸錯後鎖定
③ 正常認領流程通過</t>
        </is>
      </c>
      <c r="M12" s="13" t="inlineStr">
        <is>
          <t>P0-06</t>
        </is>
      </c>
      <c r="N12" s="6" t="n"/>
      <c r="O12" s="13" t="n"/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進行中</t>
        </is>
      </c>
      <c r="G13" s="13" t="inlineStr">
        <is>
          <t>通過</t>
        </is>
      </c>
      <c r="H13" s="13" t="n"/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382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進行中</t>
        </is>
      </c>
      <c r="G14" s="13" t="inlineStr">
        <is>
          <t>通過</t>
        </is>
      </c>
      <c r="H14" s="13" t="n"/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O14" s="13" t="inlineStr">
        <is>
          <t>68b9550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74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未開始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</t>
        </is>
      </c>
    </row>
    <row r="17" ht="60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未開始</t>
        </is>
      </c>
      <c r="G17" s="13" t="inlineStr">
        <is>
          <t>未測試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n"/>
      <c r="O17" s="13" t="n"/>
      <c r="P17" s="6" t="n"/>
    </row>
    <row r="18" ht="32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n"/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3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n"/>
    </row>
    <row r="30" ht="32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n"/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32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未開始</t>
        </is>
      </c>
      <c r="G32" s="13" t="inlineStr">
        <is>
          <t>未測試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n"/>
      <c r="O32" s="13" t="n"/>
      <c r="P32" s="6" t="n"/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60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</t>
        </is>
      </c>
    </row>
    <row r="38" ht="4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n"/>
    </row>
    <row r="39" ht="102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20 個家庭使用至少 4 週，每個家庭先簽內測同意書（收集什麼、給誰、保留多久、怎麼刪除）；每週記錄：第 4 週仍每週使用的比例、每次對話輪數、首字延遲 p95、每台每月成本、安全事件數、家長回饋。</t>
        </is>
      </c>
      <c r="L39" s="6" t="inlineStr">
        <is>
          <t>第 4 週結束時出一份內測報告，上面每個指標都有數據。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</t>
        </is>
      </c>
    </row>
    <row r="40" ht="88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前寫下三個決定及依據：① 出 100 還是 500 台 ② 一次性售價及包含幾年服務（不收月費）③ 是否延期（任何 P0 沒過就不出貨）。同時硬件認證必須已送測（P1-08），量產外殼按決定的數量落單（R-09）。CP2 遲超過 2 週，就要評估新年前交付的風險，並考慮縮減首批數量。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</t>
        </is>
      </c>
    </row>
    <row r="41" ht="32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</t>
        </is>
      </c>
      <c r="N41" s="6" t="n"/>
      <c r="O41" s="13" t="n"/>
      <c r="P41" s="6" t="n"/>
    </row>
    <row r="42" ht="46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一條可重複的出廠腳本：燒韌體 → 寫入密鑰 → 開 Flash 加密 → 自檢（喇叭、麥克風、按鍵、燈、電池、WiFi）→ 登記設備；每台留一行 QC 記錄。</t>
        </is>
      </c>
      <c r="L42" s="6" t="inlineStr">
        <is>
          <t>用腳本連續處理 10 台，全部通過且記錄完整；混入一台壞板，自檢能攔下。</t>
        </is>
      </c>
      <c r="M42" s="13" t="inlineStr">
        <is>
          <t>P0-06, P0-14, R-01</t>
        </is>
      </c>
      <c r="N42" s="6" t="n"/>
      <c r="O42" s="13" t="n"/>
      <c r="P42" s="6" t="n"/>
    </row>
    <row r="43" ht="46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n"/>
      <c r="N43" s="6" t="n"/>
      <c r="O43" s="13" t="n"/>
      <c r="P43" s="6" t="inlineStr">
        <is>
          <t>[2026-09-30] v1 沒有客服角色，售後工具由超級管理員使用（Q9）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未開始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進行中</t>
        </is>
      </c>
      <c r="G45" s="13" t="inlineStr">
        <is>
          <t>部分通過</t>
        </is>
      </c>
      <c r="H45" s="13" t="n"/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進行中</t>
        </is>
      </c>
      <c r="G46" s="13" t="inlineStr">
        <is>
          <t>通過</t>
        </is>
      </c>
      <c r="H46" s="13" t="n"/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60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未開始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</t>
        </is>
      </c>
    </row>
    <row r="48" ht="60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未開始</t>
        </is>
      </c>
      <c r="G48" s="13" t="inlineStr">
        <is>
          <t>未測試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n"/>
      <c r="O48" s="13" t="n"/>
      <c r="P48" s="6" t="inlineStr">
        <is>
          <t>[2026-09-30] 新增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28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P1-09, P1-11</t>
        </is>
      </c>
      <c r="P50" s="6" t="inlineStr">
        <is>
          <t>[2026-10-05] 新增：2026-10-05 定：兩個 checkpoint 為 10/30（CP1）與 11/27（CP2＝R-08）；硬底線是農曆新年（2027-02-06）前交付。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</t>
        </is>
      </c>
    </row>
    <row r="53" ht="270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阻塞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書面確認量產版：GPIO0（或 GPIO1）接電芯正極（保護 IC 之後）100k/100k 分壓、100nF 濾波，屏幕不接該腳；最好另把充電芯片 CHRG 接到 GPIO12 或 13。樣板到手後，固件讀到的電芯電壓與萬用表相差 ≤50mV。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54" ht="200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進行中</t>
        </is>
      </c>
      <c r="G55" s="13" t="inlineStr">
        <is>
          <t>部分通過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</sheetData>
  <autoFilter ref="A1:P57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</sheetData>
  <autoFilter ref="A1:G10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6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</sheetData>
  <autoFilter ref="A1:I1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2026-10-08T02:51:05Z</dcterms:modified>
</cp:coreProperties>
</file>