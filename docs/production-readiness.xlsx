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'任務清單'!$A$1:$P$89</definedName>
    <definedName name="_xlnm._FilterDatabase" localSheetId="2" hidden="1">'待確認問題'!$A$1:$G$14</definedName>
    <definedName name="_xlnm._FilterDatabase" localSheetId="3" hidden="1">'更新記錄'!$A$1:$I$270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15:50　·　本頁由 tracker.py 自動生成，請勿手動編輯</t>
        </is>
      </c>
    </row>
    <row r="3">
      <c r="A3" s="3" t="inlineStr">
        <is>
          <t>總進度：18/84 已完成（21%）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16</v>
      </c>
      <c r="D8" s="7">
        <f>COUNTIFS('任務清單'!$B:$B,$A8,'任務清單'!$F:$F,D$5)</f>
        <v>8</v>
      </c>
      <c r="E8" s="7">
        <f>COUNTIFS('任務清單'!$B:$B,$A8,'任務清單'!$F:$F,E$5)</f>
        <v>5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0.1875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88</v>
      </c>
      <c r="D10" s="5">
        <f>SUM(D6:D9)</f>
        <v>46</v>
      </c>
      <c r="E10" s="5">
        <f>SUM(E6:E9)</f>
        <v>15</v>
      </c>
      <c r="F10" s="5">
        <f>SUM(F6:F9)</f>
        <v>18</v>
      </c>
      <c r="G10" s="5">
        <f>SUM(G6:G9)</f>
        <v>5</v>
      </c>
      <c r="H10" s="5">
        <f>SUM(H6:H9)</f>
        <v>4</v>
      </c>
      <c r="I10" s="9">
        <f>IFERROR(F10/(C10-H10),0)</f>
        <v>0.21428571428571427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29</v>
      </c>
      <c r="D14" s="7">
        <f>COUNTIFS('任務清單'!$C:$C,$A14,'任務清單'!$F:$F,D$12)</f>
        <v>14</v>
      </c>
      <c r="E14" s="7">
        <f>COUNTIFS('任務清單'!$C:$C,$A14,'任務清單'!$F:$F,E$12)</f>
        <v>8</v>
      </c>
      <c r="F14" s="7">
        <f>COUNTIFS('任務清單'!$C:$C,$A14,'任務清單'!$F:$F,F$12)</f>
        <v>3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0.1111111111111111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9</v>
      </c>
      <c r="D16" s="7">
        <f>COUNTIFS('任務清單'!$C:$C,$A16,'任務清單'!$F:$F,D$12)</f>
        <v>9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88</v>
      </c>
      <c r="D17" s="5">
        <f>SUM(D13:D16)</f>
        <v>46</v>
      </c>
      <c r="E17" s="5">
        <f>SUM(E13:E16)</f>
        <v>15</v>
      </c>
      <c r="F17" s="5">
        <f>SUM(F13:F16)</f>
        <v>18</v>
      </c>
      <c r="G17" s="5">
        <f>SUM(G13:G16)</f>
        <v>5</v>
      </c>
      <c r="H17" s="5">
        <f>SUM(H13:H16)</f>
        <v>4</v>
      </c>
      <c r="I17" s="9">
        <f>IFERROR(F17/(C17-H17),0)</f>
        <v>0.21428571428571427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200" customHeight="1">
      <c r="A32" s="13" t="inlineStr">
        <is>
          <t>R-21</t>
        </is>
      </c>
      <c r="B32" s="6" t="inlineStr">
        <is>
          <t>藍牙配網與綁定（取代熱點配網）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2" s="11" t="n"/>
      <c r="G32" s="11" t="n"/>
      <c r="H32" s="11" t="n"/>
      <c r="I32" s="12" t="n"/>
    </row>
    <row r="33" ht="116" customHeight="1">
      <c r="A33" s="13" t="inlineStr">
        <is>
          <t>R-36</t>
        </is>
      </c>
      <c r="B33" s="6" t="inlineStr">
        <is>
          <t>未認領的設備停在配對狀態，不再每秒重連 websocket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3" s="11" t="n"/>
      <c r="G33" s="11" t="n"/>
      <c r="H33" s="11" t="n"/>
      <c r="I33" s="12" t="n"/>
    </row>
    <row r="34" ht="228" customHeight="1">
      <c r="A34" s="13" t="inlineStr">
        <is>
          <t>P2-12</t>
        </is>
      </c>
      <c r="B34" s="6" t="inlineStr">
        <is>
          <t>量產燒錄前加大 app 分區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4" s="11" t="n"/>
      <c r="G34" s="11" t="n"/>
      <c r="H34" s="11" t="n"/>
      <c r="I34" s="12" t="n"/>
    </row>
    <row r="35" ht="242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46" customHeight="1">
      <c r="A40" s="13" t="inlineStr">
        <is>
          <t>R-04</t>
        </is>
      </c>
      <c r="B40" s="6" t="inlineStr">
        <is>
          <t>粵語質量評測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0" s="11" t="n"/>
      <c r="G40" s="11" t="n"/>
      <c r="H40" s="11" t="n"/>
      <c r="I40" s="12" t="n"/>
    </row>
    <row r="41" ht="116" customHeight="1">
      <c r="A41" s="13" t="inlineStr">
        <is>
          <t>R-25</t>
        </is>
      </c>
      <c r="B41" s="6" t="inlineStr">
        <is>
          <t>網頁的品牌主題系統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116" customHeight="1">
      <c r="A45" s="13" t="inlineStr">
        <is>
          <t>R-41</t>
        </is>
      </c>
      <c r="B45" s="6" t="inlineStr">
        <is>
          <t>App 顯示玩具電量狀態（低電量提示）</t>
        </is>
      </c>
      <c r="C45" s="13" t="inlineStr">
        <is>
          <t>通過</t>
        </is>
      </c>
      <c r="D45" s="13" t="inlineStr">
        <is>
          <t>2026-10-14</t>
        </is>
      </c>
      <c r="E45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5" s="11" t="n"/>
      <c r="G45" s="11" t="n"/>
      <c r="H45" s="11" t="n"/>
      <c r="I45" s="12" t="n"/>
    </row>
    <row r="46" ht="102" customHeight="1">
      <c r="A46" s="13" t="inlineStr">
        <is>
          <t>P0-12</t>
        </is>
      </c>
      <c r="B46" s="6" t="inlineStr">
        <is>
          <t>收緊 Admin 權限與路由保護</t>
        </is>
      </c>
      <c r="C46" s="13" t="inlineStr">
        <is>
          <t>通過</t>
        </is>
      </c>
      <c r="D46" s="13" t="inlineStr">
        <is>
          <t>2026-10-12</t>
        </is>
      </c>
      <c r="E46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6" s="11" t="n"/>
      <c r="G46" s="11" t="n"/>
      <c r="H46" s="11" t="n"/>
      <c r="I46" s="12" t="n"/>
    </row>
    <row r="47" ht="88" customHeight="1">
      <c r="A47" s="13" t="inlineStr">
        <is>
          <t>P0-15</t>
        </is>
      </c>
      <c r="B47" s="6" t="inlineStr">
        <is>
          <t>角色表權限：只有內容管理員能發佈，關閉家長自建角色</t>
        </is>
      </c>
      <c r="C47" s="13" t="inlineStr">
        <is>
          <t>通過</t>
        </is>
      </c>
      <c r="D47" s="13" t="inlineStr">
        <is>
          <t>2026-10-12</t>
        </is>
      </c>
      <c r="E4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7" s="11" t="n"/>
      <c r="G47" s="11" t="n"/>
      <c r="H47" s="11" t="n"/>
      <c r="I47" s="12" t="n"/>
    </row>
    <row r="48" ht="88" customHeight="1">
      <c r="A48" s="13" t="inlineStr">
        <is>
          <t>P0-16</t>
        </is>
      </c>
      <c r="B48" s="6" t="inlineStr">
        <is>
          <t>移除「醫生」身份與寫死的通關碼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8" s="11" t="n"/>
      <c r="G48" s="11" t="n"/>
      <c r="H48" s="11" t="n"/>
      <c r="I48" s="12" t="n"/>
    </row>
    <row r="49" ht="60" customHeight="1">
      <c r="A49" s="13" t="inlineStr">
        <is>
          <t>P0-09</t>
        </is>
      </c>
      <c r="B49" s="6" t="inlineStr">
        <is>
          <t>瀏覽器語音路由改用簽名 token（/ws/nextjs）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2026-10-12（bac24e9）：wss /fastapi/ws/nextjs 只帶 user_id 或 token=bogus → 4401；用戶確認：登入 elatoai.hkqft.com 後網頁 playground 可正常對話</t>
        </is>
      </c>
      <c r="F49" s="11" t="n"/>
      <c r="G49" s="11" t="n"/>
      <c r="H49" s="11" t="n"/>
      <c r="I49" s="12" t="n"/>
    </row>
    <row r="50" ht="60" customHeight="1">
      <c r="A50" s="13" t="inlineStr">
        <is>
          <t>P0-17</t>
        </is>
      </c>
      <c r="B50" s="6" t="inlineStr">
        <is>
          <t>前端的 anon key 必須是公開 key，不可是 secret／service_role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0" s="11" t="n"/>
      <c r="G50" s="11" t="n"/>
      <c r="H50" s="11" t="n"/>
      <c r="I50" s="12" t="n"/>
    </row>
    <row r="51" ht="46" customHeight="1">
      <c r="A51" s="13" t="inlineStr">
        <is>
          <t>P0-10</t>
        </is>
      </c>
      <c r="B51" s="6" t="inlineStr">
        <is>
          <t>生產環境關閉 /browser 測試頁與 /ws/browser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2026-10-12（bac24e9）：GET /fastapi/browser 404、/fastapi/ 404、/fastapi/healthz 200、wss /fastapi/ws/browser → HTTP 403</t>
        </is>
      </c>
      <c r="F51" s="11" t="n"/>
      <c r="G51" s="11" t="n"/>
      <c r="H51" s="11" t="n"/>
      <c r="I51" s="12" t="n"/>
    </row>
    <row r="52" ht="60" customHeight="1">
      <c r="A52" s="13" t="inlineStr">
        <is>
          <t>P0-08</t>
        </is>
      </c>
      <c r="B52" s="6" t="inlineStr">
        <is>
          <t>語音伺服器驗證設備身份（/ws/esp32）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P2-14、P2-09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P2-16</t>
        </is>
      </c>
      <c r="B84" s="6" t="inlineStr">
        <is>
          <t>OTA 分批推送與後台發佈頁</t>
        </is>
      </c>
      <c r="C84" s="6" t="inlineStr">
        <is>
          <t>等 P2-14、P1-10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R-09</t>
        </is>
      </c>
      <c r="B85" s="6" t="inlineStr">
        <is>
          <t>量產外殼（真空複模）</t>
        </is>
      </c>
      <c r="C85" s="6" t="inlineStr">
        <is>
          <t>等 R-08、R-05、Q11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R-10</t>
        </is>
      </c>
      <c r="B86" s="6" t="inlineStr">
        <is>
          <t>出廠流程</t>
        </is>
      </c>
      <c r="C86" s="6" t="inlineStr">
        <is>
          <t>等 P0-14、R-01、P2-12、R-34、R-35、R-38、R-39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R-11</t>
        </is>
      </c>
      <c r="B87" s="6" t="inlineStr">
        <is>
          <t>售後：客服、保修與換機</t>
        </is>
      </c>
      <c r="C87" s="6" t="inlineStr">
        <is>
          <t>等 P2-14、R-40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R-15</t>
        </is>
      </c>
      <c r="B88" s="6" t="inlineStr">
        <is>
          <t>農曆新年前交付（生產 1/15、送達 1/29）</t>
        </is>
      </c>
      <c r="C88" s="6" t="inlineStr">
        <is>
          <t>等 R-09、R-10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R-33</t>
        </is>
      </c>
      <c r="B89" s="6" t="inlineStr">
        <is>
          <t>三個 App 送審並通過</t>
        </is>
      </c>
      <c r="C89" s="6" t="inlineStr">
        <is>
          <t>等 R-27、R-21、R-28、R-29、R-30、R-31、R-32</t>
        </is>
      </c>
      <c r="D89" s="11" t="n"/>
      <c r="E89" s="11" t="n"/>
      <c r="F89" s="11" t="n"/>
      <c r="G89" s="11" t="n"/>
      <c r="H89" s="11" t="n"/>
      <c r="I89" s="12" t="n"/>
    </row>
    <row r="90" ht="32" customHeight="1">
      <c r="A90" s="13" t="inlineStr">
        <is>
          <t>R-40</t>
        </is>
      </c>
      <c r="B90" s="6" t="inlineStr">
        <is>
          <t>Admin 客服查詢頁：查帳號、名下設備與最近事件</t>
        </is>
      </c>
      <c r="C90" s="6" t="inlineStr">
        <is>
          <t>等 P2-14、P1-10、P1-12</t>
        </is>
      </c>
      <c r="D90" s="11" t="n"/>
      <c r="E90" s="11" t="n"/>
      <c r="F90" s="11" t="n"/>
      <c r="G90" s="11" t="n"/>
      <c r="H90" s="11" t="n"/>
      <c r="I90" s="12" t="n"/>
    </row>
    <row r="92">
      <c r="A92" s="10" t="inlineStr">
        <is>
          <t>❓ 待確認問題</t>
        </is>
      </c>
    </row>
    <row r="93">
      <c r="A93" s="4" t="inlineStr">
        <is>
          <t>編號</t>
        </is>
      </c>
      <c r="B93" s="4" t="inlineStr">
        <is>
          <t>問題</t>
        </is>
      </c>
      <c r="C93" s="4" t="inlineStr">
        <is>
          <t>影響的任務 / 為什麼重要</t>
        </is>
      </c>
      <c r="D93" s="11" t="n"/>
      <c r="E93" s="11" t="n"/>
      <c r="F93" s="11" t="n"/>
      <c r="G93" s="11" t="n"/>
      <c r="H93" s="11" t="n"/>
      <c r="I93" s="12" t="n"/>
    </row>
    <row r="94" ht="18" customHeight="1">
      <c r="A94" s="13" t="inlineStr">
        <is>
          <t>Q3</t>
        </is>
      </c>
      <c r="B94" s="6" t="inlineStr">
        <is>
          <t>韌體打算閉源商業銷售嗎？</t>
        </is>
      </c>
      <c r="C94" s="6" t="inlineStr">
        <is>
          <t>P1-06, P1-07：決定 GPL／LGPL 依賴要開源還是替換。</t>
        </is>
      </c>
      <c r="D94" s="11" t="n"/>
      <c r="E94" s="11" t="n"/>
      <c r="F94" s="11" t="n"/>
      <c r="G94" s="11" t="n"/>
      <c r="H94" s="11" t="n"/>
      <c r="I94" s="12" t="n"/>
    </row>
    <row r="95" ht="32" customHeight="1">
      <c r="A95" s="13" t="inlineStr">
        <is>
          <t>Q11</t>
        </is>
      </c>
      <c r="B95" s="6" t="inlineStr">
        <is>
          <t>馬會快活的賽馬日版和新春版各多少隻（共 2,500）？</t>
        </is>
      </c>
      <c r="C95" s="6" t="inlineStr">
        <is>
          <t>R-09, R-15：兩款的服裝和配件要分開訂料；11/20 前不知道，PP 樣和大貨單（11/27）會被拖慢。由馬會決定。</t>
        </is>
      </c>
      <c r="D95" s="11" t="n"/>
      <c r="E95" s="11" t="n"/>
      <c r="F95" s="11" t="n"/>
      <c r="G95" s="11" t="n"/>
      <c r="H95" s="11" t="n"/>
      <c r="I95" s="12" t="n"/>
    </row>
    <row r="96" ht="60" customHeight="1">
      <c r="A96" s="13" t="inlineStr">
        <is>
          <t>Q12</t>
        </is>
      </c>
      <c r="B96" s="6" t="inlineStr">
        <is>
          <t>快活 App 的「會員綁定」是指甚麼：用我們自己的帳號（email 驗證碼），還是接馬會的會員帳號登入（SSO）？</t>
        </is>
      </c>
      <c r="C96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6" s="11" t="n"/>
      <c r="E96" s="11" t="n"/>
      <c r="F96" s="11" t="n"/>
      <c r="G96" s="11" t="n"/>
      <c r="H96" s="11" t="n"/>
      <c r="I96" s="12" t="n"/>
    </row>
    <row r="97" ht="46" customHeight="1">
      <c r="A97" s="13" t="inlineStr">
        <is>
          <t>Q13</t>
        </is>
      </c>
      <c r="B97" s="6" t="inlineStr">
        <is>
          <t>政協青年聯會版的角色、語言和內容由誰提供？什麼時候交？</t>
        </is>
      </c>
      <c r="C97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7" s="11" t="n"/>
      <c r="E97" s="11" t="n"/>
      <c r="F97" s="11" t="n"/>
      <c r="G97" s="11" t="n"/>
      <c r="H97" s="11" t="n"/>
      <c r="I97" s="12" t="n"/>
    </row>
    <row r="99">
      <c r="A99" s="10" t="inlineStr">
        <is>
          <t>說明</t>
        </is>
      </c>
    </row>
    <row r="100" ht="32" customHeight="1">
      <c r="A100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1" ht="18" customHeight="1">
      <c r="A101" s="14" t="inlineStr">
        <is>
          <t>・測試結果：未測試 / 通過 / 失敗 / 部分通過。測試證據寫跑了什麼、看到什麼，完整歷史在「更新記錄」。</t>
        </is>
      </c>
    </row>
    <row r="102" ht="18" customHeight="1">
      <c r="A102" s="14" t="inlineStr">
        <is>
          <t>・「接下來」按階段排序，同一階段內再按優先級；依賴還沒滿足的任務不會出現在「接下來」。</t>
        </is>
      </c>
    </row>
    <row r="103" ht="18" customHeight="1">
      <c r="A103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4" ht="32" customHeight="1">
      <c r="A104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5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100:I100"/>
    <mergeCell ref="C58:I58"/>
    <mergeCell ref="E30:I30"/>
    <mergeCell ref="E46:I46"/>
    <mergeCell ref="A102:I102"/>
    <mergeCell ref="C85:I85"/>
    <mergeCell ref="C94:I94"/>
    <mergeCell ref="C65:I65"/>
    <mergeCell ref="A92:I92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104:I104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C56:I56"/>
    <mergeCell ref="C90:I90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9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0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4 量產出貨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未開始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</t>
        </is>
      </c>
      <c r="P85" s="6" t="inlineStr">
        <is>
          <t>[2026-10-14] 新增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</sheetData>
  <autoFilter ref="A1:P89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</sheetData>
  <autoFilter ref="A1:I2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2026-10-14T07:50:40Z</dcterms:modified>
</cp:coreProperties>
</file>