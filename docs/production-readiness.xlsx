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'任務清單'!$A$1:$P$54</definedName>
    <definedName name="_xlnm._FilterDatabase" localSheetId="2" hidden="1">'待確認問題'!$A$1:$G$10</definedName>
    <definedName name="_xlnm._FilterDatabase" localSheetId="3" hidden="1">'更新記錄'!$A$1:$I$57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最後更新：2026-10-06 15:21　·　本頁由 tracker.py 自動生成，請勿手動編輯</t>
        </is>
      </c>
    </row>
    <row r="3">
      <c r="A3" s="3" t="inlineStr">
        <is>
          <t>總進度：0/52 已完成（0%）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16</v>
      </c>
      <c r="D6" s="7">
        <f>COUNTIFS('任務清單'!$B:$B,$A6,'任務清單'!$F:$F,D$5)</f>
        <v>15</v>
      </c>
      <c r="E6" s="7">
        <f>COUNTIFS('任務清單'!$B:$B,$A6,'任務清單'!$F:$F,E$5)</f>
        <v>0</v>
      </c>
      <c r="F6" s="7">
        <f>COUNTIFS('任務清單'!$B:$B,$A6,'任務清單'!$F:$F,F$5)</f>
        <v>0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0.0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11</v>
      </c>
      <c r="D7" s="7">
        <f>COUNTIFS('任務清單'!$B:$B,$A7,'任務清單'!$F:$F,D$5)</f>
        <v>11</v>
      </c>
      <c r="E7" s="7">
        <f>COUNTIFS('任務清單'!$B:$B,$A7,'任務清單'!$F:$F,E$5)</f>
        <v>0</v>
      </c>
      <c r="F7" s="7">
        <f>COUNTIFS('任務清單'!$B:$B,$A7,'任務清單'!$F:$F,F$5)</f>
        <v>0</v>
      </c>
      <c r="G7" s="7">
        <f>COUNTIFS('任務清單'!$B:$B,$A7,'任務清單'!$F:$F,G$5)</f>
        <v>0</v>
      </c>
      <c r="H7" s="7">
        <f>COUNTIFS('任務清單'!$B:$B,$A7,'任務清單'!$F:$F,H$5)</f>
        <v>0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9</v>
      </c>
      <c r="D8" s="7">
        <f>COUNTIFS('任務清單'!$B:$B,$A8,'任務清單'!$F:$F,D$5)</f>
        <v>9</v>
      </c>
      <c r="E8" s="7">
        <f>COUNTIFS('任務清單'!$B:$B,$A8,'任務清單'!$F:$F,E$5)</f>
        <v>0</v>
      </c>
      <c r="F8" s="7">
        <f>COUNTIFS('任務清單'!$B:$B,$A8,'任務清單'!$F:$F,F$5)</f>
        <v>0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0.0</v>
      </c>
    </row>
    <row r="9" ht="18" customHeight="1">
      <c r="A9" s="5" t="inlineStr">
        <is>
          <t>R</t>
        </is>
      </c>
      <c r="B9" s="6" t="inlineStr">
        <is>
          <t>產品與上市：3 個月內出 100–500 台</t>
        </is>
      </c>
      <c r="C9" s="7">
        <f>COUNTIF('任務清單'!$B:$B,$A9)</f>
        <v>17</v>
      </c>
      <c r="D9" s="7">
        <f>COUNTIFS('任務清單'!$B:$B,$A9,'任務清單'!$F:$F,D$5)</f>
        <v>16</v>
      </c>
      <c r="E9" s="7">
        <f>COUNTIFS('任務清單'!$B:$B,$A9,'任務清單'!$F:$F,E$5)</f>
        <v>1</v>
      </c>
      <c r="F9" s="7">
        <f>COUNTIFS('任務清單'!$B:$B,$A9,'任務清單'!$F:$F,F$5)</f>
        <v>0</v>
      </c>
      <c r="G9" s="7">
        <f>COUNTIFS('任務清單'!$B:$B,$A9,'任務清單'!$F:$F,G$5)</f>
        <v>0</v>
      </c>
      <c r="H9" s="7">
        <f>COUNTIFS('任務清單'!$B:$B,$A9,'任務清單'!$F:$F,H$5)</f>
        <v>0</v>
      </c>
      <c r="I9" s="8">
        <f>IFERROR(F9/(C9-H9),0)</f>
        <v>0.0</v>
      </c>
    </row>
    <row r="10">
      <c r="A10" s="5" t="inlineStr">
        <is>
          <t>合計</t>
        </is>
      </c>
      <c r="B10" s="6" t="n"/>
      <c r="C10" s="5">
        <f>SUM(C6:C9)</f>
        <v>53</v>
      </c>
      <c r="D10" s="5">
        <f>SUM(D6:D9)</f>
        <v>51</v>
      </c>
      <c r="E10" s="5">
        <f>SUM(E6:E9)</f>
        <v>1</v>
      </c>
      <c r="F10" s="5">
        <f>SUM(F6:F9)</f>
        <v>0</v>
      </c>
      <c r="G10" s="5">
        <f>SUM(G6:G9)</f>
        <v>0</v>
      </c>
      <c r="H10" s="5">
        <f>SUM(H6:H9)</f>
        <v>1</v>
      </c>
      <c r="I10" s="9">
        <f>IFERROR(F10/(C10-H10),0)</f>
        <v>0.0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21</v>
      </c>
      <c r="D13" s="7">
        <f>COUNTIFS('任務清單'!$C:$C,$A13,'任務清單'!$F:$F,D$12)</f>
        <v>19</v>
      </c>
      <c r="E13" s="7">
        <f>COUNTIFS('任務清單'!$C:$C,$A13,'任務清單'!$F:$F,E$12)</f>
        <v>1</v>
      </c>
      <c r="F13" s="7">
        <f>COUNTIFS('任務清單'!$C:$C,$A13,'任務清單'!$F:$F,F$12)</f>
        <v>0</v>
      </c>
      <c r="G13" s="7">
        <f>COUNTIFS('任務清單'!$C:$C,$A13,'任務清單'!$F:$F,G$12)</f>
        <v>0</v>
      </c>
      <c r="H13" s="7">
        <f>COUNTIFS('任務清單'!$C:$C,$A13,'任務清單'!$F:$F,H$12)</f>
        <v>1</v>
      </c>
      <c r="I13" s="8">
        <f>IFERROR(F13/(C13-H13),0)</f>
        <v>0.0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13</v>
      </c>
      <c r="D14" s="7">
        <f>COUNTIFS('任務清單'!$C:$C,$A14,'任務清單'!$F:$F,D$12)</f>
        <v>13</v>
      </c>
      <c r="E14" s="7">
        <f>COUNTIFS('任務清單'!$C:$C,$A14,'任務清單'!$F:$F,E$12)</f>
        <v>0</v>
      </c>
      <c r="F14" s="7">
        <f>COUNTIFS('任務清單'!$C:$C,$A14,'任務清單'!$F:$F,F$12)</f>
        <v>0</v>
      </c>
      <c r="G14" s="7">
        <f>COUNTIFS('任務清單'!$C:$C,$A14,'任務清單'!$F:$F,G$12)</f>
        <v>0</v>
      </c>
      <c r="H14" s="7">
        <f>COUNTIFS('任務清單'!$C:$C,$A14,'任務清單'!$F:$F,H$12)</f>
        <v>0</v>
      </c>
      <c r="I14" s="8">
        <f>IFERROR(F14/(C14-H14),0)</f>
        <v>0.0</v>
      </c>
    </row>
    <row r="15" ht="32" customHeight="1">
      <c r="A15" s="5" t="inlineStr">
        <is>
          <t>3 封閉內測</t>
        </is>
      </c>
      <c r="B15" s="6" t="inlineStr">
        <is>
          <t>11/2–11/27：20 個家庭內測，並行送測認證與合規；11/27 CP2 出貨決策（R-08）</t>
        </is>
      </c>
      <c r="C15" s="7">
        <f>COUNTIF('任務清單'!$C:$C,$A15)</f>
        <v>13</v>
      </c>
      <c r="D15" s="7">
        <f>COUNTIFS('任務清單'!$C:$C,$A15,'任務清單'!$F:$F,D$12)</f>
        <v>13</v>
      </c>
      <c r="E15" s="7">
        <f>COUNTIFS('任務清單'!$C:$C,$A15,'任務清單'!$F:$F,E$12)</f>
        <v>0</v>
      </c>
      <c r="F15" s="7">
        <f>COUNTIFS('任務清單'!$C:$C,$A15,'任務清單'!$F:$F,F$12)</f>
        <v>0</v>
      </c>
      <c r="G15" s="7">
        <f>COUNTIFS('任務清單'!$C:$C,$A15,'任務清單'!$F:$F,G$12)</f>
        <v>0</v>
      </c>
      <c r="H15" s="7">
        <f>COUNTIFS('任務清單'!$C:$C,$A15,'任務清單'!$F:$F,H$12)</f>
        <v>0</v>
      </c>
      <c r="I15" s="8">
        <f>IFERROR(F15/(C15-H15),0)</f>
        <v>0.0</v>
      </c>
    </row>
    <row r="16" ht="46" customHeight="1">
      <c r="A16" s="5" t="inlineStr">
        <is>
          <t>4 量產出貨</t>
        </is>
      </c>
      <c r="B16" s="6" t="inlineStr">
        <is>
          <t>11/30–12/26：量產外殼、出廠流程、壓測、售後；12/26 內部目標，緩衝至 1/15 生產死線、1/29 交付死線（農曆新年 2/6 前）</t>
        </is>
      </c>
      <c r="C16" s="7">
        <f>COUNTIF('任務清單'!$C:$C,$A16)</f>
        <v>6</v>
      </c>
      <c r="D16" s="7">
        <f>COUNTIFS('任務清單'!$C:$C,$A16,'任務清單'!$F:$F,D$12)</f>
        <v>6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53</v>
      </c>
      <c r="D17" s="5">
        <f>SUM(D13:D16)</f>
        <v>51</v>
      </c>
      <c r="E17" s="5">
        <f>SUM(E13:E16)</f>
        <v>1</v>
      </c>
      <c r="F17" s="5">
        <f>SUM(F13:F16)</f>
        <v>0</v>
      </c>
      <c r="G17" s="5">
        <f>SUM(G13:G16)</f>
        <v>0</v>
      </c>
      <c r="H17" s="5">
        <f>SUM(H13:H16)</f>
        <v>1</v>
      </c>
      <c r="I17" s="9">
        <f>IFERROR(F17/(C17-H17),0)</f>
        <v>0.0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46" customHeight="1">
      <c r="A21" s="13" t="inlineStr">
        <is>
          <t>R-01</t>
        </is>
      </c>
      <c r="B21" s="6" t="inlineStr">
        <is>
          <t>選定量產板子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候選板都用同一張評分表測完並記錄結果；10/16 定案。屆時另一塊板仍未到貨，直接選 Waveshare ESP32-S3-AUDIO-Board。</t>
        </is>
      </c>
      <c r="F21" s="11" t="n"/>
      <c r="G21" s="11" t="n"/>
      <c r="H21" s="11" t="n"/>
      <c r="I21" s="12" t="n"/>
    </row>
    <row r="22" ht="46" customHeight="1">
      <c r="A22" s="13" t="inlineStr">
        <is>
          <t>P0-02</t>
        </is>
      </c>
      <c r="B22" s="6" t="inlineStr">
        <is>
          <t>收緊 conversations 表的 RLS</t>
        </is>
      </c>
      <c r="C22" s="13" t="inlineStr">
        <is>
          <t>1 止血定案</t>
        </is>
      </c>
      <c r="D22" s="13" t="inlineStr">
        <is>
          <t>未開始</t>
        </is>
      </c>
      <c r="E22" s="6" t="inlineStr">
        <is>
          <t>刪除該 policy；authenticated 只能 SELECT／DELETE 自己 user_id 的行；寫入只經 service_role；anon 無任何存取。</t>
        </is>
      </c>
      <c r="F22" s="11" t="n"/>
      <c r="G22" s="11" t="n"/>
      <c r="H22" s="11" t="n"/>
      <c r="I22" s="12" t="n"/>
    </row>
    <row r="23" ht="32" customHeight="1">
      <c r="A23" s="13" t="inlineStr">
        <is>
          <t>P0-03</t>
        </is>
      </c>
      <c r="B23" s="6" t="inlineStr">
        <is>
          <t>收緊 users 表的 RLS</t>
        </is>
      </c>
      <c r="C23" s="13" t="inlineStr">
        <is>
          <t>1 止血定案</t>
        </is>
      </c>
      <c r="D23" s="13" t="inlineStr">
        <is>
          <t>未開始</t>
        </is>
      </c>
      <c r="E23" s="6" t="inlineStr">
        <is>
          <t>移除 anon UPDATE 與公開 SELECT；用戶只能讀、改自己那一行；service_role 不受影響。</t>
        </is>
      </c>
      <c r="F23" s="11" t="n"/>
      <c r="G23" s="11" t="n"/>
      <c r="H23" s="11" t="n"/>
      <c r="I23" s="12" t="n"/>
    </row>
    <row r="24" ht="32" customHeight="1">
      <c r="A24" s="13" t="inlineStr">
        <is>
          <t>P0-04</t>
        </is>
      </c>
      <c r="B24" s="6" t="inlineStr">
        <is>
          <t>收緊 devices 表的 RLS</t>
        </is>
      </c>
      <c r="C24" s="13" t="inlineStr">
        <is>
          <t>1 止血定案</t>
        </is>
      </c>
      <c r="D24" s="13" t="inlineStr">
        <is>
          <t>未開始</t>
        </is>
      </c>
      <c r="E24" s="6" t="inlineStr">
        <is>
          <t>只有擁有者可讀自己的設備；認領、解綁改走 server action + service_role；anon 無存取。</t>
        </is>
      </c>
      <c r="F24" s="11" t="n"/>
      <c r="G24" s="11" t="n"/>
      <c r="H24" s="11" t="n"/>
      <c r="I24" s="12" t="n"/>
    </row>
    <row r="25" ht="32" customHeight="1">
      <c r="A25" s="13" t="inlineStr">
        <is>
          <t>P0-05</t>
        </is>
      </c>
      <c r="B25" s="6" t="inlineStr">
        <is>
          <t>撤銷敏感表的多餘授權</t>
        </is>
      </c>
      <c r="C25" s="13" t="inlineStr">
        <is>
          <t>1 止血定案</t>
        </is>
      </c>
      <c r="D25" s="13" t="inlineStr">
        <is>
          <t>未開始</t>
        </is>
      </c>
      <c r="E25" s="6" t="inlineStr">
        <is>
          <t>anon 對這三張表沒有任何權限；authenticated 只保留必要權限，沒有 TRUNCATE。</t>
        </is>
      </c>
      <c r="F25" s="11" t="n"/>
      <c r="G25" s="11" t="n"/>
      <c r="H25" s="11" t="n"/>
      <c r="I25" s="12" t="n"/>
    </row>
    <row r="26" ht="46" customHeight="1">
      <c r="A26" s="13" t="inlineStr">
        <is>
          <t>P0-06</t>
        </is>
      </c>
      <c r="B26" s="6" t="inlineStr">
        <is>
          <t>停止憑 MAC 發放永久用戶 JWT</t>
        </is>
      </c>
      <c r="C26" s="13" t="inlineStr">
        <is>
          <t>1 止血定案</t>
        </is>
      </c>
      <c r="D26" s="13" t="inlineStr">
        <is>
          <t>未開始</t>
        </is>
      </c>
      <c r="E26" s="6" t="inlineStr">
        <is>
          <t>設備首次連線時一次性下發設備密鑰；之後用密鑰換短期（≤24 小時）設備 token，權限只限設備本身，不再是家長 session。</t>
        </is>
      </c>
      <c r="F26" s="11" t="n"/>
      <c r="G26" s="11" t="n"/>
      <c r="H26" s="11" t="n"/>
      <c r="I26" s="12" t="n"/>
    </row>
    <row r="27" ht="46" customHeight="1">
      <c r="A27" s="13" t="inlineStr">
        <is>
          <t>P0-09</t>
        </is>
      </c>
      <c r="B27" s="6" t="inlineStr">
        <is>
          <t>瀏覽器語音路由改用簽名 token（/ws/nextjs）</t>
        </is>
      </c>
      <c r="C27" s="13" t="inlineStr">
        <is>
          <t>1 止血定案</t>
        </is>
      </c>
      <c r="D27" s="13" t="inlineStr">
        <is>
          <t>未開始</t>
        </is>
      </c>
      <c r="E27" s="6" t="inlineStr">
        <is>
          <t>Next.js 為已登入用戶簽發 ≤5 分鐘的 token，FastAPI 驗證後才取 user_id；角色與 prompt 由伺服器端按帳號讀取。</t>
        </is>
      </c>
      <c r="F27" s="11" t="n"/>
      <c r="G27" s="11" t="n"/>
      <c r="H27" s="11" t="n"/>
      <c r="I27" s="12" t="n"/>
    </row>
    <row r="29">
      <c r="A29" s="10" t="inlineStr">
        <is>
          <t>✅ 最近完成與測試效果</t>
        </is>
      </c>
    </row>
    <row r="30">
      <c r="A30" s="4" t="inlineStr">
        <is>
          <t>編號</t>
        </is>
      </c>
      <c r="B30" s="4" t="inlineStr">
        <is>
          <t>任務</t>
        </is>
      </c>
      <c r="C30" s="4" t="inlineStr">
        <is>
          <t>測試結果</t>
        </is>
      </c>
      <c r="D30" s="4" t="inlineStr">
        <is>
          <t>完成日期</t>
        </is>
      </c>
      <c r="E30" s="4" t="inlineStr">
        <is>
          <t>測試證據</t>
        </is>
      </c>
      <c r="F30" s="11" t="n"/>
      <c r="G30" s="11" t="n"/>
      <c r="H30" s="11" t="n"/>
      <c r="I30" s="12" t="n"/>
    </row>
    <row r="31">
      <c r="A31" s="6" t="inlineStr">
        <is>
          <t>（還沒有）</t>
        </is>
      </c>
      <c r="B31" s="11" t="n"/>
      <c r="C31" s="11" t="n"/>
      <c r="D31" s="11" t="n"/>
      <c r="E31" s="11" t="n"/>
      <c r="F31" s="11" t="n"/>
      <c r="G31" s="11" t="n"/>
      <c r="H31" s="11" t="n"/>
      <c r="I31" s="12" t="n"/>
    </row>
    <row r="33">
      <c r="A33" s="10" t="inlineStr">
        <is>
          <t>⏳ 等待依賴 / ⛔ 阻塞</t>
        </is>
      </c>
    </row>
    <row r="34">
      <c r="A34" s="4" t="inlineStr">
        <is>
          <t>編號</t>
        </is>
      </c>
      <c r="B34" s="4" t="inlineStr">
        <is>
          <t>任務</t>
        </is>
      </c>
      <c r="C34" s="4" t="inlineStr">
        <is>
          <t>在等什麼</t>
        </is>
      </c>
      <c r="D34" s="11" t="n"/>
      <c r="E34" s="11" t="n"/>
      <c r="F34" s="11" t="n"/>
      <c r="G34" s="11" t="n"/>
      <c r="H34" s="11" t="n"/>
      <c r="I34" s="12" t="n"/>
    </row>
    <row r="35" ht="18" customHeight="1">
      <c r="A35" s="13" t="inlineStr">
        <is>
          <t>P0-07</t>
        </is>
      </c>
      <c r="B35" s="6" t="inlineStr">
        <is>
          <t>輪換 JWT secret，作廢已發出的 token</t>
        </is>
      </c>
      <c r="C35" s="6" t="inlineStr">
        <is>
          <t>等 P0-06</t>
        </is>
      </c>
      <c r="D35" s="11" t="n"/>
      <c r="E35" s="11" t="n"/>
      <c r="F35" s="11" t="n"/>
      <c r="G35" s="11" t="n"/>
      <c r="H35" s="11" t="n"/>
      <c r="I35" s="12" t="n"/>
    </row>
    <row r="36" ht="18" customHeight="1">
      <c r="A36" s="13" t="inlineStr">
        <is>
          <t>P0-08</t>
        </is>
      </c>
      <c r="B36" s="6" t="inlineStr">
        <is>
          <t>語音伺服器驗證設備身份（/ws/esp32）</t>
        </is>
      </c>
      <c r="C36" s="6" t="inlineStr">
        <is>
          <t>等 P0-06</t>
        </is>
      </c>
      <c r="D36" s="11" t="n"/>
      <c r="E36" s="11" t="n"/>
      <c r="F36" s="11" t="n"/>
      <c r="G36" s="11" t="n"/>
      <c r="H36" s="11" t="n"/>
      <c r="I36" s="12" t="n"/>
    </row>
    <row r="37" ht="18" customHeight="1">
      <c r="A37" s="13" t="inlineStr">
        <is>
          <t>P0-11</t>
        </is>
      </c>
      <c r="B37" s="6" t="inlineStr">
        <is>
          <t>設備認領要求持有證明</t>
        </is>
      </c>
      <c r="C37" s="6" t="inlineStr">
        <is>
          <t>等 P0-06</t>
        </is>
      </c>
      <c r="D37" s="11" t="n"/>
      <c r="E37" s="11" t="n"/>
      <c r="F37" s="11" t="n"/>
      <c r="G37" s="11" t="n"/>
      <c r="H37" s="11" t="n"/>
      <c r="I37" s="12" t="n"/>
    </row>
    <row r="38" ht="32" customHeight="1">
      <c r="A38" s="13" t="inlineStr">
        <is>
          <t>P0-15</t>
        </is>
      </c>
      <c r="B38" s="6" t="inlineStr">
        <is>
          <t>角色表權限：只有內容管理員能發佈，關閉家長自建角色</t>
        </is>
      </c>
      <c r="C38" s="6" t="inlineStr">
        <is>
          <t>等 P0-12</t>
        </is>
      </c>
      <c r="D38" s="11" t="n"/>
      <c r="E38" s="11" t="n"/>
      <c r="F38" s="11" t="n"/>
      <c r="G38" s="11" t="n"/>
      <c r="H38" s="11" t="n"/>
      <c r="I38" s="12" t="n"/>
    </row>
    <row r="39" ht="18" customHeight="1">
      <c r="A39" s="13" t="inlineStr">
        <is>
          <t>P1-10</t>
        </is>
      </c>
      <c r="B39" s="6" t="inlineStr">
        <is>
          <t>管理操作審計記錄</t>
        </is>
      </c>
      <c r="C39" s="6" t="inlineStr">
        <is>
          <t>等 P0-12</t>
        </is>
      </c>
      <c r="D39" s="11" t="n"/>
      <c r="E39" s="11" t="n"/>
      <c r="F39" s="11" t="n"/>
      <c r="G39" s="11" t="n"/>
      <c r="H39" s="11" t="n"/>
      <c r="I39" s="12" t="n"/>
    </row>
    <row r="40" ht="18" customHeight="1">
      <c r="A40" s="13" t="inlineStr">
        <is>
          <t>P2-02</t>
        </is>
      </c>
      <c r="B40" s="6" t="inlineStr">
        <is>
          <t>CI 跑測試與靜態檢查</t>
        </is>
      </c>
      <c r="C40" s="6" t="inlineStr">
        <is>
          <t>等 P2-01</t>
        </is>
      </c>
      <c r="D40" s="11" t="n"/>
      <c r="E40" s="11" t="n"/>
      <c r="F40" s="11" t="n"/>
      <c r="G40" s="11" t="n"/>
      <c r="H40" s="11" t="n"/>
      <c r="I40" s="12" t="n"/>
    </row>
    <row r="41" ht="18" customHeight="1">
      <c r="A41" s="13" t="inlineStr">
        <is>
          <t>R-05</t>
        </is>
      </c>
      <c r="B41" s="6" t="inlineStr">
        <is>
          <t>內測版外殼（3D 打印 20 台）</t>
        </is>
      </c>
      <c r="C41" s="6" t="inlineStr">
        <is>
          <t>等 R-01</t>
        </is>
      </c>
      <c r="D41" s="11" t="n"/>
      <c r="E41" s="11" t="n"/>
      <c r="F41" s="11" t="n"/>
      <c r="G41" s="11" t="n"/>
      <c r="H41" s="11" t="n"/>
      <c r="I41" s="12" t="n"/>
    </row>
    <row r="42" ht="18" customHeight="1">
      <c r="A42" s="13" t="inlineStr">
        <is>
          <t>R-06</t>
        </is>
      </c>
      <c r="B42" s="6" t="inlineStr">
        <is>
          <t>家長自助上手流程</t>
        </is>
      </c>
      <c r="C42" s="6" t="inlineStr">
        <is>
          <t>等 P0-11</t>
        </is>
      </c>
      <c r="D42" s="11" t="n"/>
      <c r="E42" s="11" t="n"/>
      <c r="F42" s="11" t="n"/>
      <c r="G42" s="11" t="n"/>
      <c r="H42" s="11" t="n"/>
      <c r="I42" s="12" t="n"/>
    </row>
    <row r="43" ht="46" customHeight="1">
      <c r="A43" s="13" t="inlineStr">
        <is>
          <t>R-13</t>
        </is>
      </c>
      <c r="B43" s="6" t="inlineStr">
        <is>
          <t>CP1 內測就緒檢查（10/30）</t>
        </is>
      </c>
      <c r="C43" s="6" t="inlineStr">
        <is>
          <t>等 P0-02、P0-03、P0-04、P0-05、P0-06、P0-07、P0-08、P0-09、P0-10、P0-11、P0-12、P0-13、P1-01、P1-02、P2-09、R-01、R-02、R-04、R-05、R-06、P0-15、P0-16、P1-09、P1-11</t>
        </is>
      </c>
      <c r="D43" s="11" t="n"/>
      <c r="E43" s="11" t="n"/>
      <c r="F43" s="11" t="n"/>
      <c r="G43" s="11" t="n"/>
      <c r="H43" s="11" t="n"/>
      <c r="I43" s="12" t="n"/>
    </row>
    <row r="44" ht="18" customHeight="1">
      <c r="A44" s="13" t="inlineStr">
        <is>
          <t>P0-14</t>
        </is>
      </c>
      <c r="B44" s="6" t="inlineStr">
        <is>
          <t>韌體簽章、Secure Boot 與 Flash 加密</t>
        </is>
      </c>
      <c r="C44" s="6" t="inlineStr">
        <is>
          <t>等 P0-13、R-01</t>
        </is>
      </c>
      <c r="D44" s="11" t="n"/>
      <c r="E44" s="11" t="n"/>
      <c r="F44" s="11" t="n"/>
      <c r="G44" s="11" t="n"/>
      <c r="H44" s="11" t="n"/>
      <c r="I44" s="12" t="n"/>
    </row>
    <row r="45" ht="18" customHeight="1">
      <c r="A45" s="13" t="inlineStr">
        <is>
          <t>P1-06</t>
        </is>
      </c>
      <c r="B45" s="6" t="inlineStr">
        <is>
          <t>處理 GPL-3.0 依賴（arduino-audio-tools）</t>
        </is>
      </c>
      <c r="C45" s="6" t="inlineStr">
        <is>
          <t>等 Q3</t>
        </is>
      </c>
      <c r="D45" s="11" t="n"/>
      <c r="E45" s="11" t="n"/>
      <c r="F45" s="11" t="n"/>
      <c r="G45" s="11" t="n"/>
      <c r="H45" s="11" t="n"/>
      <c r="I45" s="12" t="n"/>
    </row>
    <row r="46" ht="18" customHeight="1">
      <c r="A46" s="13" t="inlineStr">
        <is>
          <t>P1-07</t>
        </is>
      </c>
      <c r="B46" s="6" t="inlineStr">
        <is>
          <t>LGPL 合規與第三方授權聲明</t>
        </is>
      </c>
      <c r="C46" s="6" t="inlineStr">
        <is>
          <t>等 Q3</t>
        </is>
      </c>
      <c r="D46" s="11" t="n"/>
      <c r="E46" s="11" t="n"/>
      <c r="F46" s="11" t="n"/>
      <c r="G46" s="11" t="n"/>
      <c r="H46" s="11" t="n"/>
      <c r="I46" s="12" t="n"/>
    </row>
    <row r="47" ht="18" customHeight="1">
      <c r="A47" s="13" t="inlineStr">
        <is>
          <t>P1-08</t>
        </is>
      </c>
      <c r="B47" s="6" t="inlineStr">
        <is>
          <t>硬件認證</t>
        </is>
      </c>
      <c r="C47" s="6" t="inlineStr">
        <is>
          <t>等 R-01、R-05</t>
        </is>
      </c>
      <c r="D47" s="11" t="n"/>
      <c r="E47" s="11" t="n"/>
      <c r="F47" s="11" t="n"/>
      <c r="G47" s="11" t="n"/>
      <c r="H47" s="11" t="n"/>
      <c r="I47" s="12" t="n"/>
    </row>
    <row r="48" ht="18" customHeight="1">
      <c r="A48" s="13" t="inlineStr">
        <is>
          <t>R-07</t>
        </is>
      </c>
      <c r="B48" s="6" t="inlineStr">
        <is>
          <t>20 個家庭封閉內測</t>
        </is>
      </c>
      <c r="C48" s="6" t="inlineStr">
        <is>
          <t>等 R-13</t>
        </is>
      </c>
      <c r="D48" s="11" t="n"/>
      <c r="E48" s="11" t="n"/>
      <c r="F48" s="11" t="n"/>
      <c r="G48" s="11" t="n"/>
      <c r="H48" s="11" t="n"/>
      <c r="I48" s="12" t="n"/>
    </row>
    <row r="49" ht="18" customHeight="1">
      <c r="A49" s="13" t="inlineStr">
        <is>
          <t>R-08</t>
        </is>
      </c>
      <c r="B49" s="6" t="inlineStr">
        <is>
          <t>第 8 週關卡決策</t>
        </is>
      </c>
      <c r="C49" s="6" t="inlineStr">
        <is>
          <t>等 R-07、P2-09、P1-08</t>
        </is>
      </c>
      <c r="D49" s="11" t="n"/>
      <c r="E49" s="11" t="n"/>
      <c r="F49" s="11" t="n"/>
      <c r="G49" s="11" t="n"/>
      <c r="H49" s="11" t="n"/>
      <c r="I49" s="12" t="n"/>
    </row>
    <row r="50" ht="18" customHeight="1">
      <c r="A50" s="13" t="inlineStr">
        <is>
          <t>R-14</t>
        </is>
      </c>
      <c r="B50" s="6" t="inlineStr">
        <is>
          <t>離線兒歌與故事</t>
        </is>
      </c>
      <c r="C50" s="6" t="inlineStr">
        <is>
          <t>等 R-01</t>
        </is>
      </c>
      <c r="D50" s="11" t="n"/>
      <c r="E50" s="11" t="n"/>
      <c r="F50" s="11" t="n"/>
      <c r="G50" s="11" t="n"/>
      <c r="H50" s="11" t="n"/>
      <c r="I50" s="12" t="n"/>
    </row>
    <row r="51" ht="18" customHeight="1">
      <c r="A51" s="13" t="inlineStr">
        <is>
          <t>P2-05</t>
        </is>
      </c>
      <c r="B51" s="6" t="inlineStr">
        <is>
          <t>拒絕未知設備並限制用量</t>
        </is>
      </c>
      <c r="C51" s="6" t="inlineStr">
        <is>
          <t>等 P0-08</t>
        </is>
      </c>
      <c r="D51" s="11" t="n"/>
      <c r="E51" s="11" t="n"/>
      <c r="F51" s="11" t="n"/>
      <c r="G51" s="11" t="n"/>
      <c r="H51" s="11" t="n"/>
      <c r="I51" s="12" t="n"/>
    </row>
    <row r="52" ht="18" customHeight="1">
      <c r="A52" s="13" t="inlineStr">
        <is>
          <t>R-09</t>
        </is>
      </c>
      <c r="B52" s="6" t="inlineStr">
        <is>
          <t>量產外殼（真空複模）</t>
        </is>
      </c>
      <c r="C52" s="6" t="inlineStr">
        <is>
          <t>等 R-08、R-05</t>
        </is>
      </c>
      <c r="D52" s="11" t="n"/>
      <c r="E52" s="11" t="n"/>
      <c r="F52" s="11" t="n"/>
      <c r="G52" s="11" t="n"/>
      <c r="H52" s="11" t="n"/>
      <c r="I52" s="12" t="n"/>
    </row>
    <row r="53" ht="18" customHeight="1">
      <c r="A53" s="13" t="inlineStr">
        <is>
          <t>R-10</t>
        </is>
      </c>
      <c r="B53" s="6" t="inlineStr">
        <is>
          <t>出廠流程</t>
        </is>
      </c>
      <c r="C53" s="6" t="inlineStr">
        <is>
          <t>等 P0-06、P0-14、R-01</t>
        </is>
      </c>
      <c r="D53" s="11" t="n"/>
      <c r="E53" s="11" t="n"/>
      <c r="F53" s="11" t="n"/>
      <c r="G53" s="11" t="n"/>
      <c r="H53" s="11" t="n"/>
      <c r="I53" s="12" t="n"/>
    </row>
    <row r="54" ht="18" customHeight="1">
      <c r="A54" s="13" t="inlineStr">
        <is>
          <t>R-15</t>
        </is>
      </c>
      <c r="B54" s="6" t="inlineStr">
        <is>
          <t>農曆新年前交付（生產 1/15、送達 1/29）</t>
        </is>
      </c>
      <c r="C54" s="6" t="inlineStr">
        <is>
          <t>等 R-09、R-10</t>
        </is>
      </c>
      <c r="D54" s="11" t="n"/>
      <c r="E54" s="11" t="n"/>
      <c r="F54" s="11" t="n"/>
      <c r="G54" s="11" t="n"/>
      <c r="H54" s="11" t="n"/>
      <c r="I54" s="12" t="n"/>
    </row>
    <row r="56">
      <c r="A56" s="10" t="inlineStr">
        <is>
          <t>❓ 待確認問題</t>
        </is>
      </c>
    </row>
    <row r="57">
      <c r="A57" s="4" t="inlineStr">
        <is>
          <t>編號</t>
        </is>
      </c>
      <c r="B57" s="4" t="inlineStr">
        <is>
          <t>問題</t>
        </is>
      </c>
      <c r="C57" s="4" t="inlineStr">
        <is>
          <t>影響的任務 / 為什麼重要</t>
        </is>
      </c>
      <c r="D57" s="11" t="n"/>
      <c r="E57" s="11" t="n"/>
      <c r="F57" s="11" t="n"/>
      <c r="G57" s="11" t="n"/>
      <c r="H57" s="11" t="n"/>
      <c r="I57" s="12" t="n"/>
    </row>
    <row r="58" ht="18" customHeight="1">
      <c r="A58" s="13" t="inlineStr">
        <is>
          <t>Q3</t>
        </is>
      </c>
      <c r="B58" s="6" t="inlineStr">
        <is>
          <t>韌體打算閉源商業銷售嗎？</t>
        </is>
      </c>
      <c r="C58" s="6" t="inlineStr">
        <is>
          <t>P1-06, P1-07：決定 GPL／LGPL 依賴要開源還是替換。</t>
        </is>
      </c>
      <c r="D58" s="11" t="n"/>
      <c r="E58" s="11" t="n"/>
      <c r="F58" s="11" t="n"/>
      <c r="G58" s="11" t="n"/>
      <c r="H58" s="11" t="n"/>
      <c r="I58" s="12" t="n"/>
    </row>
    <row r="60">
      <c r="A60" s="10" t="inlineStr">
        <is>
          <t>說明</t>
        </is>
      </c>
    </row>
    <row r="61" ht="32" customHeight="1">
      <c r="A61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62" ht="18" customHeight="1">
      <c r="A62" s="14" t="inlineStr">
        <is>
          <t>・測試結果：未測試 / 通過 / 失敗 / 部分通過。測試證據寫跑了什麼、看到什麼，完整歷史在「更新記錄」。</t>
        </is>
      </c>
    </row>
    <row r="63" ht="18" customHeight="1">
      <c r="A63" s="14" t="inlineStr">
        <is>
          <t>・「接下來」按階段排序，同一階段內再按優先級；依賴還沒滿足的任務不會出現在「接下來」。</t>
        </is>
      </c>
    </row>
    <row r="64" ht="18" customHeight="1">
      <c r="A64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65" ht="32" customHeight="1">
      <c r="A65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46">
    <mergeCell ref="C36:I36"/>
    <mergeCell ref="E21:I21"/>
    <mergeCell ref="A65:I65"/>
    <mergeCell ref="C52:I52"/>
    <mergeCell ref="C48:I48"/>
    <mergeCell ref="C39:I39"/>
    <mergeCell ref="E24:I24"/>
    <mergeCell ref="A56:I56"/>
    <mergeCell ref="A3:I3"/>
    <mergeCell ref="E23:I23"/>
    <mergeCell ref="C38:I38"/>
    <mergeCell ref="C57:I57"/>
    <mergeCell ref="C37:I37"/>
    <mergeCell ref="C53:I53"/>
    <mergeCell ref="A2:I2"/>
    <mergeCell ref="A33:I33"/>
    <mergeCell ref="E20:I20"/>
    <mergeCell ref="C49:I49"/>
    <mergeCell ref="C34:I34"/>
    <mergeCell ref="C42:I42"/>
    <mergeCell ref="A62:I62"/>
    <mergeCell ref="C58:I58"/>
    <mergeCell ref="A29:I29"/>
    <mergeCell ref="C45:I45"/>
    <mergeCell ref="E30:I30"/>
    <mergeCell ref="A19:I19"/>
    <mergeCell ref="A63:I63"/>
    <mergeCell ref="C35:I35"/>
    <mergeCell ref="E27:I27"/>
    <mergeCell ref="A31:I31"/>
    <mergeCell ref="C47:I47"/>
    <mergeCell ref="C54:I54"/>
    <mergeCell ref="C41:I41"/>
    <mergeCell ref="E26:I26"/>
    <mergeCell ref="C50:I50"/>
    <mergeCell ref="A64:I64"/>
    <mergeCell ref="C44:I44"/>
    <mergeCell ref="C40:I40"/>
    <mergeCell ref="A60:I60"/>
    <mergeCell ref="E25:I25"/>
    <mergeCell ref="A1:I1"/>
    <mergeCell ref="C43:I43"/>
    <mergeCell ref="C46:I46"/>
    <mergeCell ref="A61:I61"/>
    <mergeCell ref="E22:I22"/>
    <mergeCell ref="C51:I51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4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74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未開始</t>
        </is>
      </c>
      <c r="G3" s="13" t="inlineStr">
        <is>
          <t>未測試</t>
        </is>
      </c>
      <c r="H3" s="13" t="n"/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n"/>
      <c r="O3" s="13" t="n"/>
      <c r="P3" s="6" t="n"/>
    </row>
    <row r="4" ht="60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未開始</t>
        </is>
      </c>
      <c r="G4" s="13" t="inlineStr">
        <is>
          <t>未測試</t>
        </is>
      </c>
      <c r="H4" s="13" t="n"/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n"/>
      <c r="O4" s="13" t="n"/>
      <c r="P4" s="6" t="n"/>
    </row>
    <row r="5" ht="46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未開始</t>
        </is>
      </c>
      <c r="G5" s="13" t="inlineStr">
        <is>
          <t>未測試</t>
        </is>
      </c>
      <c r="H5" s="13" t="n"/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n"/>
      <c r="O5" s="13" t="n"/>
      <c r="P5" s="6" t="n"/>
    </row>
    <row r="6" ht="46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未開始</t>
        </is>
      </c>
      <c r="G6" s="13" t="inlineStr">
        <is>
          <t>未測試</t>
        </is>
      </c>
      <c r="H6" s="13" t="n"/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n"/>
      <c r="O6" s="13" t="n"/>
      <c r="P6" s="6" t="n"/>
    </row>
    <row r="7" ht="6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未開始</t>
        </is>
      </c>
      <c r="G7" s="13" t="inlineStr">
        <is>
          <t>未測試</t>
        </is>
      </c>
      <c r="H7" s="13" t="n"/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n"/>
      <c r="O7" s="13" t="n"/>
      <c r="P7" s="6" t="n"/>
    </row>
    <row r="8" ht="46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未開始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新 secret 生效；重發 anon／service_role key 並更新到前端與 FastAPI；所有設備重新配對。</t>
        </is>
      </c>
      <c r="L8" s="6" t="inlineStr">
        <is>
          <t>① 用舊 token 呼叫 REST 回 401
② 新流程端到端對話正常
③ Web 登入正常</t>
        </is>
      </c>
      <c r="M8" s="13" t="inlineStr">
        <is>
          <t>P0-06</t>
        </is>
      </c>
      <c r="N8" s="6" t="n"/>
      <c r="O8" s="13" t="n"/>
      <c r="P8" s="6" t="n"/>
    </row>
    <row r="9" ht="6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未開始</t>
        </is>
      </c>
      <c r="G9" s="13" t="inlineStr">
        <is>
          <t>未測試</t>
        </is>
      </c>
      <c r="H9" s="13" t="n"/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n"/>
      <c r="O9" s="13" t="n"/>
      <c r="P9" s="6" t="n"/>
    </row>
    <row r="10" ht="46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未開始</t>
        </is>
      </c>
      <c r="G10" s="13" t="inlineStr">
        <is>
          <t>未測試</t>
        </is>
      </c>
      <c r="H10" s="13" t="n"/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n"/>
      <c r="O10" s="13" t="n"/>
      <c r="P10" s="6" t="n"/>
    </row>
    <row r="11" ht="3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未開始</t>
        </is>
      </c>
      <c r="G11" s="13" t="inlineStr">
        <is>
          <t>未測試</t>
        </is>
      </c>
      <c r="H11" s="13" t="n"/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n"/>
      <c r="O11" s="13" t="n"/>
      <c r="P11" s="6" t="n"/>
    </row>
    <row r="12" ht="46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未開始</t>
        </is>
      </c>
      <c r="G12" s="13" t="inlineStr">
        <is>
          <t>未測試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配對碼只回傳給持有設備密鑰的請求，由設備顯示或讀出；不再列出全球未認領設備；認領必須輸入配對碼，輸錯次數有上限。</t>
        </is>
      </c>
      <c r="L12" s="6" t="inlineStr">
        <is>
          <t>① 只知 MAC 拿不到配對碼
② 連續輸錯後鎖定
③ 正常認領流程通過</t>
        </is>
      </c>
      <c r="M12" s="13" t="inlineStr">
        <is>
          <t>P0-06</t>
        </is>
      </c>
      <c r="N12" s="6" t="n"/>
      <c r="O12" s="13" t="n"/>
      <c r="P12" s="6" t="n"/>
    </row>
    <row r="13" ht="158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未開始</t>
        </is>
      </c>
      <c r="G13" s="13" t="inlineStr">
        <is>
          <t>未測試</t>
        </is>
      </c>
      <c r="H13" s="13" t="n"/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
② 管理端搬到 /admin：middleware 擋未授權的路由，每個 server action 再檢查一次角色，資料庫 RLS 也用 has_role() 把關
③ 管理員必須開啟兩步驗證（TOTP）才能進管理端
④ 任何管理員角色在資料庫層面都沒有讀取其他家庭 conversations、memory_facts、memory_segments 的權限
⑤ 恢復 middleware 對 /home 的登入保護</t>
        </is>
      </c>
      <c r="L13" s="6" t="inlineStr">
        <is>
          <t>① 普通家長帳號訪問 /admin 被拒；直接呼叫 admin server action 被拒
② 內容管理員能改角色，不能改模型設定和管理員名單
③ 沒開兩步驗證的管理員進不了 /admin
④ 用超級管理員的 JWT 查 conversations、memory_facts、memory_segments，讀不到其他家庭的資料
⑤ 未登入訪問 /home 跳到 /login</t>
        </is>
      </c>
      <c r="M13" s="13" t="n"/>
      <c r="N13" s="6" t="n"/>
      <c r="O13" s="13" t="n"/>
      <c r="P13" s="6" t="inlineStr">
        <is>
          <t>[2026-09-30] 權限設計討論後擴大範圍：見 Q7、Q9</t>
        </is>
      </c>
    </row>
    <row r="14" ht="32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未開始</t>
        </is>
      </c>
      <c r="G14" s="13" t="inlineStr">
        <is>
          <t>未測試</t>
        </is>
      </c>
      <c r="H14" s="13" t="n"/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n"/>
      <c r="O14" s="13" t="n"/>
      <c r="P14" s="6" t="n"/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32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n"/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3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未開始</t>
        </is>
      </c>
      <c r="G24" s="13" t="inlineStr">
        <is>
          <t>未測試</t>
        </is>
      </c>
      <c r="H24" s="13" t="n"/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n"/>
      <c r="O24" s="13" t="n"/>
      <c r="P24" s="6" t="n"/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46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未開始</t>
        </is>
      </c>
      <c r="G26" s="13" t="inlineStr">
        <is>
          <t>未測試</t>
        </is>
      </c>
      <c r="H26" s="13" t="n"/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n"/>
      <c r="O26" s="13" t="n"/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3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n"/>
    </row>
    <row r="30" ht="32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n"/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32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未開始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n"/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候選板都用同一張評分表測完並記錄結果；10/16 定案。屆時另一塊板仍未到貨，直接選 Waveshare ESP32-S3-AUDIO-Board。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</t>
        </is>
      </c>
    </row>
    <row r="34" ht="74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未開始</t>
        </is>
      </c>
      <c r="G34" s="13" t="inlineStr">
        <is>
          <t>未測試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n"/>
      <c r="O34" s="13" t="n"/>
      <c r="P34" s="6" t="inlineStr">
        <is>
          <t>[2026-09-30] Q5：3–6 歲</t>
        </is>
      </c>
    </row>
    <row r="35" ht="74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未開始</t>
        </is>
      </c>
      <c r="G35" s="13" t="inlineStr">
        <is>
          <t>未測試</t>
        </is>
      </c>
      <c r="H35" s="13" t="n"/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n"/>
      <c r="O35" s="13" t="n"/>
      <c r="P35" s="6" t="n"/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60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</t>
        </is>
      </c>
    </row>
    <row r="38" ht="4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n"/>
    </row>
    <row r="39" ht="102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20 個家庭使用至少 4 週，每個家庭先簽內測同意書（收集什麼、給誰、保留多久、怎麼刪除）；每週記錄：第 4 週仍每週使用的比例、每次對話輪數、首字延遲 p95、每台每月成本、安全事件數、家長回饋。</t>
        </is>
      </c>
      <c r="L39" s="6" t="inlineStr">
        <is>
          <t>第 4 週結束時出一份內測報告，上面每個指標都有數據。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</t>
        </is>
      </c>
    </row>
    <row r="40" ht="88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前寫下三個決定及依據：① 出 100 還是 500 台 ② 一次性售價及包含幾年服務（不收月費）③ 是否延期（任何 P0 沒過就不出貨）。同時硬件認證必須已送測（P1-08），量產外殼按決定的數量落單（R-09）。CP2 遲超過 2 週，就要評估新年前交付的風險，並考慮縮減首批數量。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</t>
        </is>
      </c>
    </row>
    <row r="41" ht="32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</t>
        </is>
      </c>
      <c r="N41" s="6" t="n"/>
      <c r="O41" s="13" t="n"/>
      <c r="P41" s="6" t="n"/>
    </row>
    <row r="42" ht="46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一條可重複的出廠腳本：燒韌體 → 寫入密鑰 → 開 Flash 加密 → 自檢（喇叭、麥克風、按鍵、燈、電池、WiFi）→ 登記設備；每台留一行 QC 記錄。</t>
        </is>
      </c>
      <c r="L42" s="6" t="inlineStr">
        <is>
          <t>用腳本連續處理 10 台，全部通過且記錄完整；混入一台壞板，自檢能攔下。</t>
        </is>
      </c>
      <c r="M42" s="13" t="inlineStr">
        <is>
          <t>P0-06, P0-14, R-01</t>
        </is>
      </c>
      <c r="N42" s="6" t="n"/>
      <c r="O42" s="13" t="n"/>
      <c r="P42" s="6" t="n"/>
    </row>
    <row r="43" ht="46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n"/>
      <c r="N43" s="6" t="n"/>
      <c r="O43" s="13" t="n"/>
      <c r="P43" s="6" t="inlineStr">
        <is>
          <t>[2026-09-30] v1 沒有客服角色，售後工具由超級管理員使用（Q9）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未開始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</t>
        </is>
      </c>
    </row>
    <row r="45" ht="88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未開始</t>
        </is>
      </c>
      <c r="G45" s="13" t="inlineStr">
        <is>
          <t>未測試</t>
        </is>
      </c>
      <c r="H45" s="13" t="n"/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與家長只能讀取已發佈（is_hidden=false）的內建角色；/home/create 入口撤下；現有家長自建角色設為隱藏，資料保留。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n"/>
      <c r="O45" s="13" t="n"/>
      <c r="P45" s="6" t="inlineStr">
        <is>
          <t>[2026-09-30] 新增</t>
        </is>
      </c>
    </row>
    <row r="46" ht="130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未開始</t>
        </is>
      </c>
      <c r="G46" s="13" t="inlineStr">
        <is>
          <t>未測試</t>
        </is>
      </c>
      <c r="H46" s="13" t="n"/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n"/>
      <c r="O46" s="13" t="n"/>
      <c r="P46" s="6" t="inlineStr">
        <is>
          <t>[2026-09-30] 新增</t>
        </is>
      </c>
    </row>
    <row r="47" ht="60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未開始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</t>
        </is>
      </c>
    </row>
    <row r="48" ht="6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未開始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</t>
        </is>
      </c>
    </row>
    <row r="53" ht="172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4" ht="74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未開始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</t>
        </is>
      </c>
    </row>
  </sheetData>
  <autoFilter ref="A1:P54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</sheetData>
  <autoFilter ref="A1:G10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</sheetData>
  <autoFilter ref="A1:I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2026-10-06T07:21:25Z</dcterms:modified>
</cp:coreProperties>
</file>