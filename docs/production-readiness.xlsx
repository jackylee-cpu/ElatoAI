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'任務清單'!$A$1:$P$98</definedName>
    <definedName name="_xlnm._FilterDatabase" localSheetId="2" hidden="1">'待確認問題'!$A$1:$G$14</definedName>
    <definedName name="_xlnm._FilterDatabase" localSheetId="3" hidden="1">'更新記錄'!$A$1:$I$319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5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最後更新：2026-10-15 10:29　·　本頁由 tracker.py 自動生成，請勿手動編輯</t>
        </is>
      </c>
    </row>
    <row r="3">
      <c r="A3" s="3" t="inlineStr">
        <is>
          <t>總進度：25/93 已完成（27%）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25</v>
      </c>
      <c r="D8" s="7">
        <f>COUNTIFS('任務清單'!$B:$B,$A8,'任務清單'!$F:$F,D$5)</f>
        <v>9</v>
      </c>
      <c r="E8" s="7">
        <f>COUNTIFS('任務清單'!$B:$B,$A8,'任務清單'!$F:$F,E$5)</f>
        <v>6</v>
      </c>
      <c r="F8" s="7">
        <f>COUNTIFS('任務清單'!$B:$B,$A8,'任務清單'!$F:$F,F$5)</f>
        <v>10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0.4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97</v>
      </c>
      <c r="D10" s="5">
        <f>SUM(D6:D9)</f>
        <v>47</v>
      </c>
      <c r="E10" s="5">
        <f>SUM(E6:E9)</f>
        <v>16</v>
      </c>
      <c r="F10" s="5">
        <f>SUM(F6:F9)</f>
        <v>25</v>
      </c>
      <c r="G10" s="5">
        <f>SUM(G6:G9)</f>
        <v>5</v>
      </c>
      <c r="H10" s="5">
        <f>SUM(H6:H9)</f>
        <v>4</v>
      </c>
      <c r="I10" s="9">
        <f>IFERROR(F10/(C10-H10),0)</f>
        <v>0.26881720430107525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37</v>
      </c>
      <c r="D14" s="7">
        <f>COUNTIFS('任務清單'!$C:$C,$A14,'任務清單'!$F:$F,D$12)</f>
        <v>15</v>
      </c>
      <c r="E14" s="7">
        <f>COUNTIFS('任務清單'!$C:$C,$A14,'任務清單'!$F:$F,E$12)</f>
        <v>8</v>
      </c>
      <c r="F14" s="7">
        <f>COUNTIFS('任務清單'!$C:$C,$A14,'任務清單'!$F:$F,F$12)</f>
        <v>10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0.2857142857142857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29</v>
      </c>
      <c r="D15" s="7">
        <f>COUNTIFS('任務清單'!$C:$C,$A15,'任務清單'!$F:$F,D$12)</f>
        <v>23</v>
      </c>
      <c r="E15" s="7">
        <f>COUNTIFS('任務清單'!$C:$C,$A15,'任務清單'!$F:$F,E$12)</f>
        <v>3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97</v>
      </c>
      <c r="D17" s="5">
        <f>SUM(D13:D16)</f>
        <v>47</v>
      </c>
      <c r="E17" s="5">
        <f>SUM(E13:E16)</f>
        <v>16</v>
      </c>
      <c r="F17" s="5">
        <f>SUM(F13:F16)</f>
        <v>25</v>
      </c>
      <c r="G17" s="5">
        <f>SUM(G13:G16)</f>
        <v>5</v>
      </c>
      <c r="H17" s="5">
        <f>SUM(H13:H16)</f>
        <v>4</v>
      </c>
      <c r="I17" s="9">
        <f>IFERROR(F17/(C17-H17),0)</f>
        <v>0.26881720430107525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102" customHeight="1">
      <c r="A31" s="13" t="inlineStr">
        <is>
          <t>P2-24</t>
        </is>
      </c>
      <c r="B31" s="6" t="inlineStr">
        <is>
          <t>麥克風上行改用 IMA ADPCM（減少 4 倍頻寬）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F31" s="11" t="n"/>
      <c r="G31" s="11" t="n"/>
      <c r="H31" s="11" t="n"/>
      <c r="I31" s="12" t="n"/>
    </row>
    <row r="32" ht="200" customHeight="1">
      <c r="A32" s="13" t="inlineStr">
        <is>
          <t>R-21</t>
        </is>
      </c>
      <c r="B32" s="6" t="inlineStr">
        <is>
          <t>藍牙配網與綁定（取代熱點配網）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2" s="11" t="n"/>
      <c r="G32" s="11" t="n"/>
      <c r="H32" s="11" t="n"/>
      <c r="I32" s="12" t="n"/>
    </row>
    <row r="33" ht="172" customHeight="1">
      <c r="A33" s="13" t="inlineStr">
        <is>
          <t>R-36</t>
        </is>
      </c>
      <c r="B33" s="6" t="inlineStr">
        <is>
          <t>未認領的設備停在配對狀態，不再每秒重連 websocket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上次測試：部分通過 — 補充 2026-10-15（1.7.5，含 R-36）：已綁定時兩次 Wi-Fi 切換各斷網 9–11 秒，都自動重連並重新 auth，沒有停在暫停狀態；30 秒斷網仍未做
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3" s="11" t="n"/>
      <c r="G33" s="11" t="n"/>
      <c r="H33" s="11" t="n"/>
      <c r="I33" s="12" t="n"/>
    </row>
    <row r="34" ht="228" customHeight="1">
      <c r="A34" s="13" t="inlineStr">
        <is>
          <t>P2-12</t>
        </is>
      </c>
      <c r="B34" s="6" t="inlineStr">
        <is>
          <t>量產燒錄前加大 app 分區</t>
        </is>
      </c>
      <c r="C34" s="13" t="inlineStr">
        <is>
          <t>3 封閉內測</t>
        </is>
      </c>
      <c r="D34" s="13" t="inlineStr">
        <is>
          <t>進行中</t>
        </is>
      </c>
      <c r="E34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4" s="11" t="n"/>
      <c r="G34" s="11" t="n"/>
      <c r="H34" s="11" t="n"/>
      <c r="I34" s="12" t="n"/>
    </row>
    <row r="35" ht="409" customHeight="1">
      <c r="A35" s="13" t="inlineStr">
        <is>
          <t>P2-22</t>
        </is>
      </c>
      <c r="B35" s="6" t="inlineStr">
        <is>
          <t>改服務器網址也不失聯：語音網址由後端下發、後端網址可遷移、已確認韌體長期連不上時自救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
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F35" s="11" t="n"/>
      <c r="G35" s="11" t="n"/>
      <c r="H35" s="11" t="n"/>
      <c r="I35" s="12" t="n"/>
    </row>
    <row r="36" ht="409" customHeight="1">
      <c r="A36" s="13" t="inlineStr">
        <is>
          <t>R-37</t>
        </is>
      </c>
      <c r="B36" s="6" t="inlineStr">
        <is>
          <t>網頁設定玩具的 Wi-Fi：查看、新增、刪除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F36" s="11" t="n"/>
      <c r="G36" s="11" t="n"/>
      <c r="H36" s="11" t="n"/>
      <c r="I36" s="12" t="n"/>
    </row>
    <row r="37" ht="102" customHeight="1">
      <c r="A37" s="13" t="inlineStr">
        <is>
          <t>R-16</t>
        </is>
      </c>
      <c r="B37" s="6" t="inlineStr">
        <is>
          <t>Spotpear 量產版加電池電壓檢測（GPIO0 分壓）</t>
        </is>
      </c>
      <c r="C37" s="13" t="inlineStr">
        <is>
          <t>1 止血定案</t>
        </is>
      </c>
      <c r="D37" s="13" t="inlineStr">
        <is>
          <t>未開始</t>
        </is>
      </c>
      <c r="E37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P1-11</t>
        </is>
      </c>
      <c r="B38" s="6" t="inlineStr">
        <is>
          <t>伺服器與資料庫直接存取的管控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P2-02</t>
        </is>
      </c>
      <c r="B39" s="6" t="inlineStr">
        <is>
          <t>CI 跑測試與靜態檢查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推送與 PR 時跑 pytest、ruff、pyright、next lint、tsc --noEmit、pio run；任何一項失敗就不發佈 image。</t>
        </is>
      </c>
      <c r="F39" s="11" t="n"/>
      <c r="G39" s="11" t="n"/>
      <c r="H39" s="11" t="n"/>
      <c r="I39" s="12" t="n"/>
    </row>
    <row r="40" ht="32" customHeight="1">
      <c r="A40" s="13" t="inlineStr">
        <is>
          <t>P2-04</t>
        </is>
      </c>
      <c r="B40" s="6" t="inlineStr">
        <is>
          <t>容器改用非 root 用戶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兩個 Dockerfile 都設定非 root 的 USER。</t>
        </is>
      </c>
      <c r="F40" s="11" t="n"/>
      <c r="G40" s="11" t="n"/>
      <c r="H40" s="11" t="n"/>
      <c r="I40" s="12" t="n"/>
    </row>
    <row r="41" ht="46" customHeight="1">
      <c r="A41" s="13" t="inlineStr">
        <is>
          <t>R-04</t>
        </is>
      </c>
      <c r="B41" s="6" t="inlineStr">
        <is>
          <t>粵語質量評測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1" s="11" t="n"/>
      <c r="G41" s="11" t="n"/>
      <c r="H41" s="11" t="n"/>
      <c r="I41" s="12" t="n"/>
    </row>
    <row r="42" ht="116" customHeight="1">
      <c r="A42" s="13" t="inlineStr">
        <is>
          <t>R-25</t>
        </is>
      </c>
      <c r="B42" s="6" t="inlineStr">
        <is>
          <t>網頁的品牌主題系統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88" customHeight="1">
      <c r="A46" s="13" t="inlineStr">
        <is>
          <t>P2-21</t>
        </is>
      </c>
      <c r="B46" s="6" t="inlineStr">
        <is>
          <t>P2-16 ⑤ 後台 OTA 頁換成真實數據與操作</t>
        </is>
      </c>
      <c r="C46" s="13" t="inlineStr">
        <is>
          <t>通過</t>
        </is>
      </c>
      <c r="D46" s="13" t="inlineStr">
        <is>
          <t>2026-10-15</t>
        </is>
      </c>
      <c r="E4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F46" s="11" t="n"/>
      <c r="G46" s="11" t="n"/>
      <c r="H46" s="11" t="n"/>
      <c r="I46" s="12" t="n"/>
    </row>
    <row r="47" ht="158" customHeight="1">
      <c r="A47" s="13" t="inlineStr">
        <is>
          <t>P2-16</t>
        </is>
      </c>
      <c r="B47" s="6" t="inlineStr">
        <is>
          <t>OTA 分批推送與後台發佈頁</t>
        </is>
      </c>
      <c r="C47" s="13" t="inlineStr">
        <is>
          <t>通過</t>
        </is>
      </c>
      <c r="D47" s="13" t="inlineStr">
        <is>
          <t>2026-10-15</t>
        </is>
      </c>
      <c r="E47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F47" s="11" t="n"/>
      <c r="G47" s="11" t="n"/>
      <c r="H47" s="11" t="n"/>
      <c r="I47" s="12" t="n"/>
    </row>
    <row r="48" ht="144" customHeight="1">
      <c r="A48" s="13" t="inlineStr">
        <is>
          <t>P2-14</t>
        </is>
      </c>
      <c r="B48" s="6" t="inlineStr">
        <is>
          <t>Admin 設備頁：每台玩具的狀態、韌體與基本操作</t>
        </is>
      </c>
      <c r="C48" s="13" t="inlineStr">
        <is>
          <t>通過</t>
        </is>
      </c>
      <c r="D48" s="13" t="inlineStr">
        <is>
          <t>2026-10-15</t>
        </is>
      </c>
      <c r="E48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F48" s="11" t="n"/>
      <c r="G48" s="11" t="n"/>
      <c r="H48" s="11" t="n"/>
      <c r="I48" s="12" t="n"/>
    </row>
    <row r="49" ht="214" customHeight="1">
      <c r="A49" s="13" t="inlineStr">
        <is>
          <t>P2-20</t>
        </is>
      </c>
      <c r="B49" s="6" t="inlineStr">
        <is>
          <t>P2-16 ④ 從後台上傳與發佈韌體（取代手貼 service key）</t>
        </is>
      </c>
      <c r="C49" s="13" t="inlineStr">
        <is>
          <t>通過</t>
        </is>
      </c>
      <c r="D49" s="13" t="inlineStr">
        <is>
          <t>2026-10-14</t>
        </is>
      </c>
      <c r="E49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F49" s="11" t="n"/>
      <c r="G49" s="11" t="n"/>
      <c r="H49" s="11" t="n"/>
      <c r="I49" s="12" t="n"/>
    </row>
    <row r="50" ht="158" customHeight="1">
      <c r="A50" s="13" t="inlineStr">
        <is>
          <t>P2-19</t>
        </is>
      </c>
      <c r="B50" s="6" t="inlineStr">
        <is>
          <t>P2-16 ③ 回滾過多時自動暫停推送</t>
        </is>
      </c>
      <c r="C50" s="13" t="inlineStr">
        <is>
          <t>通過</t>
        </is>
      </c>
      <c r="D50" s="13" t="inlineStr">
        <is>
          <t>2026-10-14</t>
        </is>
      </c>
      <c r="E50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F50" s="11" t="n"/>
      <c r="G50" s="11" t="n"/>
      <c r="H50" s="11" t="n"/>
      <c r="I50" s="12" t="n"/>
    </row>
    <row r="51" ht="200" customHeight="1">
      <c r="A51" s="13" t="inlineStr">
        <is>
          <t>P2-18</t>
        </is>
      </c>
      <c r="B51" s="6" t="inlineStr">
        <is>
          <t>P2-16 ② 按 MAC 雜湊穩定分組決定哪台收到 ota</t>
        </is>
      </c>
      <c r="C51" s="13" t="inlineStr">
        <is>
          <t>通過</t>
        </is>
      </c>
      <c r="D51" s="13" t="inlineStr">
        <is>
          <t>2026-10-14</t>
        </is>
      </c>
      <c r="E5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51" s="11" t="n"/>
      <c r="G51" s="11" t="n"/>
      <c r="H51" s="11" t="n"/>
      <c r="I51" s="12" t="n"/>
    </row>
    <row r="52" ht="172" customHeight="1">
      <c r="A52" s="13" t="inlineStr">
        <is>
          <t>P2-17</t>
        </is>
      </c>
      <c r="B52" s="6" t="inlineStr">
        <is>
          <t>P2-16 ① 分批推送的數據表：推送階段、白名單、每台安裝結果</t>
        </is>
      </c>
      <c r="C52" s="13" t="inlineStr">
        <is>
          <t>通過</t>
        </is>
      </c>
      <c r="D52" s="13" t="inlineStr">
        <is>
          <t>2026-10-14</t>
        </is>
      </c>
      <c r="E52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52" s="11" t="n"/>
      <c r="G52" s="11" t="n"/>
      <c r="H52" s="11" t="n"/>
      <c r="I52" s="12" t="n"/>
    </row>
    <row r="53" ht="116" customHeight="1">
      <c r="A53" s="13" t="inlineStr">
        <is>
          <t>R-41</t>
        </is>
      </c>
      <c r="B53" s="6" t="inlineStr">
        <is>
          <t>App 顯示玩具電量狀態（低電量提示）</t>
        </is>
      </c>
      <c r="C53" s="13" t="inlineStr">
        <is>
          <t>通過</t>
        </is>
      </c>
      <c r="D53" s="13" t="inlineStr">
        <is>
          <t>2026-10-14</t>
        </is>
      </c>
      <c r="E53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53" s="11" t="n"/>
      <c r="G53" s="11" t="n"/>
      <c r="H53" s="11" t="n"/>
      <c r="I53" s="12" t="n"/>
    </row>
    <row r="55">
      <c r="A55" s="10" t="inlineStr">
        <is>
          <t>⏳ 等待依賴 / ⛔ 阻塞</t>
        </is>
      </c>
    </row>
    <row r="56">
      <c r="A56" s="4" t="inlineStr">
        <is>
          <t>編號</t>
        </is>
      </c>
      <c r="B56" s="4" t="inlineStr">
        <is>
          <t>任務</t>
        </is>
      </c>
      <c r="C56" s="4" t="inlineStr">
        <is>
          <t>在等什麼</t>
        </is>
      </c>
      <c r="D56" s="11" t="n"/>
      <c r="E56" s="11" t="n"/>
      <c r="F56" s="11" t="n"/>
      <c r="G56" s="11" t="n"/>
      <c r="H56" s="11" t="n"/>
      <c r="I56" s="12" t="n"/>
    </row>
    <row r="57" ht="88" customHeight="1">
      <c r="A57" s="13" t="inlineStr">
        <is>
          <t>R-17</t>
        </is>
      </c>
      <c r="B57" s="6" t="inlineStr">
        <is>
          <t>Spotpear 電池耗盡時插電能否正常開機（供電路徑）</t>
        </is>
      </c>
      <c r="C57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7" s="11" t="n"/>
      <c r="E57" s="11" t="n"/>
      <c r="F57" s="11" t="n"/>
      <c r="G57" s="11" t="n"/>
      <c r="H57" s="11" t="n"/>
      <c r="I57" s="12" t="n"/>
    </row>
    <row r="58" ht="60" customHeight="1">
      <c r="A58" s="13" t="inlineStr">
        <is>
          <t>P1-01</t>
        </is>
      </c>
      <c r="B58" s="6" t="inlineStr">
        <is>
          <t>加入內容審核層（輸入與輸出）</t>
        </is>
      </c>
      <c r="C58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P1-09</t>
        </is>
      </c>
      <c r="B59" s="6" t="inlineStr">
        <is>
          <t>家長鎖：孩子模式進設定要輸入 PIN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R-12</t>
        </is>
      </c>
      <c r="B60" s="6" t="inlineStr">
        <is>
          <t>家長控制：每日使用上限和休息時段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R-29</t>
        </is>
      </c>
      <c r="B61" s="6" t="inlineStr">
        <is>
          <t>AI Buddy App（品牌 C）頁面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P2-25</t>
        </is>
      </c>
      <c r="B62" s="6" t="inlineStr">
        <is>
          <t>C3 斷線後自救：TLS 握手超時縮短、連續失敗重設 Wi-Fi 或重開、修重試漏記憶體</t>
        </is>
      </c>
      <c r="C62" s="6" t="inlineStr">
        <is>
          <t>等 P2-24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R-05</t>
        </is>
      </c>
      <c r="B63" s="6" t="inlineStr">
        <is>
          <t>內測版外殼（3D 打印 20 台）</t>
        </is>
      </c>
      <c r="C63" s="6" t="inlineStr">
        <is>
          <t>等 R-01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R-06</t>
        </is>
      </c>
      <c r="B64" s="6" t="inlineStr">
        <is>
          <t>家長自助上手流程</t>
        </is>
      </c>
      <c r="C64" s="6" t="inlineStr">
        <is>
          <t>等 P0-11</t>
        </is>
      </c>
      <c r="D64" s="11" t="n"/>
      <c r="E64" s="11" t="n"/>
      <c r="F64" s="11" t="n"/>
      <c r="G64" s="11" t="n"/>
      <c r="H64" s="11" t="n"/>
      <c r="I64" s="12" t="n"/>
    </row>
    <row r="65" ht="32" customHeight="1">
      <c r="A65" s="13" t="inlineStr">
        <is>
          <t>R-13</t>
        </is>
      </c>
      <c r="B65" s="6" t="inlineStr">
        <is>
          <t>CP1 內測就緒檢查（10/30）</t>
        </is>
      </c>
      <c r="C65" s="6" t="inlineStr">
        <is>
          <t>等 P0-07、P0-11、P1-01、P1-02、P2-09、R-01、R-02、R-04、R-05、R-06、P1-11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R-18</t>
        </is>
      </c>
      <c r="B66" s="6" t="inlineStr">
        <is>
          <t>長按 BOOT 重新配網（開 AIBuddy-XXXX 熱點）</t>
        </is>
      </c>
      <c r="C66" s="6" t="inlineStr">
        <is>
          <t>等 R-01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R-19</t>
        </is>
      </c>
      <c r="B67" s="6" t="inlineStr">
        <is>
          <t>外接按鈕：量產板加 I2C 擴展晶片（TCA9555）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18" customHeight="1">
      <c r="A68" s="13" t="inlineStr">
        <is>
          <t>R-20</t>
        </is>
      </c>
      <c r="B68" s="6" t="inlineStr">
        <is>
          <t>孩子資料與角色改成每台設備一份</t>
        </is>
      </c>
      <c r="C68" s="6" t="inlineStr">
        <is>
          <t>等 P1-12</t>
        </is>
      </c>
      <c r="D68" s="11" t="n"/>
      <c r="E68" s="11" t="n"/>
      <c r="F68" s="11" t="n"/>
      <c r="G68" s="11" t="n"/>
      <c r="H68" s="11" t="n"/>
      <c r="I68" s="12" t="n"/>
    </row>
    <row r="69" ht="32" customHeight="1">
      <c r="A69" s="13" t="inlineStr">
        <is>
          <t>R-27</t>
        </is>
      </c>
      <c r="B69" s="6" t="inlineStr">
        <is>
          <t>App 內登入：驗證碼、原生社交登入、刪除帳號</t>
        </is>
      </c>
      <c r="C69" s="6" t="inlineStr">
        <is>
          <t>等 R-26</t>
        </is>
      </c>
      <c r="D69" s="11" t="n"/>
      <c r="E69" s="11" t="n"/>
      <c r="F69" s="11" t="n"/>
      <c r="G69" s="11" t="n"/>
      <c r="H69" s="11" t="n"/>
      <c r="I69" s="12" t="n"/>
    </row>
    <row r="70" ht="18" customHeight="1">
      <c r="A70" s="13" t="inlineStr">
        <is>
          <t>P0-14</t>
        </is>
      </c>
      <c r="B70" s="6" t="inlineStr">
        <is>
          <t>韌體簽章、Secure Boot 與 Flash 加密</t>
        </is>
      </c>
      <c r="C70" s="6" t="inlineStr">
        <is>
          <t>等 R-01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P1-06</t>
        </is>
      </c>
      <c r="B71" s="6" t="inlineStr">
        <is>
          <t>處理 GPL-3.0 依賴（arduino-audio-tools）</t>
        </is>
      </c>
      <c r="C71" s="6" t="inlineStr">
        <is>
          <t>等 Q3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P1-07</t>
        </is>
      </c>
      <c r="B72" s="6" t="inlineStr">
        <is>
          <t>LGPL 合規與第三方授權聲明</t>
        </is>
      </c>
      <c r="C72" s="6" t="inlineStr">
        <is>
          <t>等 Q3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P1-08</t>
        </is>
      </c>
      <c r="B73" s="6" t="inlineStr">
        <is>
          <t>硬件認證</t>
        </is>
      </c>
      <c r="C73" s="6" t="inlineStr">
        <is>
          <t>等 R-01、R-05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P1-14</t>
        </is>
      </c>
      <c r="B74" s="6" t="inlineStr">
        <is>
          <t>Admin 內容安全頁：審核事件只按類別統計</t>
        </is>
      </c>
      <c r="C74" s="6" t="inlineStr">
        <is>
          <t>等 P1-01、P2-13</t>
        </is>
      </c>
      <c r="D74" s="11" t="n"/>
      <c r="E74" s="11" t="n"/>
      <c r="F74" s="11" t="n"/>
      <c r="G74" s="11" t="n"/>
      <c r="H74" s="11" t="n"/>
      <c r="I74" s="12" t="n"/>
    </row>
    <row r="75" ht="32" customHeight="1">
      <c r="A75" s="13" t="inlineStr">
        <is>
          <t>P2-15</t>
        </is>
      </c>
      <c r="B75" s="6" t="inlineStr">
        <is>
          <t>Admin 總覽頁：在線、用量、成本與待處理事項</t>
        </is>
      </c>
      <c r="C75" s="6" t="inlineStr">
        <is>
          <t>等 P2-09</t>
        </is>
      </c>
      <c r="D75" s="11" t="n"/>
      <c r="E75" s="11" t="n"/>
      <c r="F75" s="11" t="n"/>
      <c r="G75" s="11" t="n"/>
      <c r="H75" s="11" t="n"/>
      <c r="I75" s="12" t="n"/>
    </row>
    <row r="76" ht="18" customHeight="1">
      <c r="A76" s="13" t="inlineStr">
        <is>
          <t>R-07</t>
        </is>
      </c>
      <c r="B76" s="6" t="inlineStr">
        <is>
          <t>20 個家庭封閉內測</t>
        </is>
      </c>
      <c r="C76" s="6" t="inlineStr">
        <is>
          <t>等 R-13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R-08</t>
        </is>
      </c>
      <c r="B77" s="6" t="inlineStr">
        <is>
          <t>第 8 週關卡決策</t>
        </is>
      </c>
      <c r="C77" s="6" t="inlineStr">
        <is>
          <t>等 R-07、P2-09、P1-08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R-14</t>
        </is>
      </c>
      <c r="B78" s="6" t="inlineStr">
        <is>
          <t>離線兒歌與故事</t>
        </is>
      </c>
      <c r="C78" s="6" t="inlineStr">
        <is>
          <t>等 R-01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R-24</t>
        </is>
      </c>
      <c r="B79" s="6" t="inlineStr">
        <is>
          <t>設備只能用自己品牌的角色</t>
        </is>
      </c>
      <c r="C79" s="6" t="inlineStr">
        <is>
          <t>等 R-34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R-28</t>
        </is>
      </c>
      <c r="B80" s="6" t="inlineStr">
        <is>
          <t>三個 App 的殼：品牌版本與測試版</t>
        </is>
      </c>
      <c r="C80" s="6" t="inlineStr">
        <is>
          <t>等 R-25、R-26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R-30</t>
        </is>
      </c>
      <c r="B81" s="6" t="inlineStr">
        <is>
          <t>快活 App（品牌 A）頁面</t>
        </is>
      </c>
      <c r="C81" s="6" t="inlineStr">
        <is>
          <t>等 R-25、R-34、Q12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R-31</t>
        </is>
      </c>
      <c r="B82" s="6" t="inlineStr">
        <is>
          <t>政協青年聯會版 App（品牌 B）頁面</t>
        </is>
      </c>
      <c r="C82" s="6" t="inlineStr">
        <is>
          <t>等 R-25、R-34、Q13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R-35</t>
        </is>
      </c>
      <c r="B83" s="6" t="inlineStr">
        <is>
          <t>韌體按品牌連線：伺服器網址在出廠時寫入</t>
        </is>
      </c>
      <c r="C83" s="6" t="inlineStr">
        <is>
          <t>等 R-34</t>
        </is>
      </c>
      <c r="D83" s="11" t="n"/>
      <c r="E83" s="11" t="n"/>
      <c r="F83" s="11" t="n"/>
      <c r="G83" s="11" t="n"/>
      <c r="H83" s="11" t="n"/>
      <c r="I83" s="12" t="n"/>
    </row>
    <row r="84" ht="32" customHeight="1">
      <c r="A84" s="13" t="inlineStr">
        <is>
          <t>R-38</t>
        </is>
      </c>
      <c r="B84" s="6" t="inlineStr">
        <is>
          <t>公仔出廠鎖死所屬 IP，綁定時顯示該 IP 頭像</t>
        </is>
      </c>
      <c r="C84" s="6" t="inlineStr">
        <is>
          <t>等 P0-11</t>
        </is>
      </c>
      <c r="D84" s="11" t="n"/>
      <c r="E84" s="11" t="n"/>
      <c r="F84" s="11" t="n"/>
      <c r="G84" s="11" t="n"/>
      <c r="H84" s="11" t="n"/>
      <c r="I84" s="12" t="n"/>
    </row>
    <row r="85" ht="32" customHeight="1">
      <c r="A85" s="13" t="inlineStr">
        <is>
          <t>R-39</t>
        </is>
      </c>
      <c r="B85" s="6" t="inlineStr">
        <is>
          <t>Admin 出廠登記頁：匯入 MAC 清單、指定公仔、查看自檢結果</t>
        </is>
      </c>
      <c r="C85" s="6" t="inlineStr">
        <is>
          <t>等 R-38、P1-10</t>
        </is>
      </c>
      <c r="D85" s="11" t="n"/>
      <c r="E85" s="11" t="n"/>
      <c r="F85" s="11" t="n"/>
      <c r="G85" s="11" t="n"/>
      <c r="H85" s="11" t="n"/>
      <c r="I85" s="12" t="n"/>
    </row>
    <row r="86" ht="18" customHeight="1">
      <c r="A86" s="13" t="inlineStr">
        <is>
          <t>R-09</t>
        </is>
      </c>
      <c r="B86" s="6" t="inlineStr">
        <is>
          <t>量產外殼（真空複模）</t>
        </is>
      </c>
      <c r="C86" s="6" t="inlineStr">
        <is>
          <t>等 R-08、R-05、Q11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R-10</t>
        </is>
      </c>
      <c r="B87" s="6" t="inlineStr">
        <is>
          <t>出廠流程</t>
        </is>
      </c>
      <c r="C87" s="6" t="inlineStr">
        <is>
          <t>等 P0-14、R-01、P2-12、R-34、R-35、R-38、R-39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R-11</t>
        </is>
      </c>
      <c r="B88" s="6" t="inlineStr">
        <is>
          <t>售後：客服、保修與換機</t>
        </is>
      </c>
      <c r="C88" s="6" t="inlineStr">
        <is>
          <t>等 R-40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R-15</t>
        </is>
      </c>
      <c r="B89" s="6" t="inlineStr">
        <is>
          <t>農曆新年前交付（生產 1/15、送達 1/29）</t>
        </is>
      </c>
      <c r="C89" s="6" t="inlineStr">
        <is>
          <t>等 R-09、R-10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R-33</t>
        </is>
      </c>
      <c r="B90" s="6" t="inlineStr">
        <is>
          <t>三個 App 送審並通過</t>
        </is>
      </c>
      <c r="C90" s="6" t="inlineStr">
        <is>
          <t>等 R-27、R-21、R-28、R-29、R-30、R-31、R-32</t>
        </is>
      </c>
      <c r="D90" s="11" t="n"/>
      <c r="E90" s="11" t="n"/>
      <c r="F90" s="11" t="n"/>
      <c r="G90" s="11" t="n"/>
      <c r="H90" s="11" t="n"/>
      <c r="I90" s="12" t="n"/>
    </row>
    <row r="91" ht="32" customHeight="1">
      <c r="A91" s="13" t="inlineStr">
        <is>
          <t>R-40</t>
        </is>
      </c>
      <c r="B91" s="6" t="inlineStr">
        <is>
          <t>Admin 客服查詢頁：查帳號、名下設備與最近事件</t>
        </is>
      </c>
      <c r="C91" s="6" t="inlineStr">
        <is>
          <t>等 P1-10、P1-12</t>
        </is>
      </c>
      <c r="D91" s="11" t="n"/>
      <c r="E91" s="11" t="n"/>
      <c r="F91" s="11" t="n"/>
      <c r="G91" s="11" t="n"/>
      <c r="H91" s="11" t="n"/>
      <c r="I91" s="12" t="n"/>
    </row>
    <row r="93">
      <c r="A93" s="10" t="inlineStr">
        <is>
          <t>❓ 待確認問題</t>
        </is>
      </c>
    </row>
    <row r="94">
      <c r="A94" s="4" t="inlineStr">
        <is>
          <t>編號</t>
        </is>
      </c>
      <c r="B94" s="4" t="inlineStr">
        <is>
          <t>問題</t>
        </is>
      </c>
      <c r="C94" s="4" t="inlineStr">
        <is>
          <t>影響的任務 / 為什麼重要</t>
        </is>
      </c>
      <c r="D94" s="11" t="n"/>
      <c r="E94" s="11" t="n"/>
      <c r="F94" s="11" t="n"/>
      <c r="G94" s="11" t="n"/>
      <c r="H94" s="11" t="n"/>
      <c r="I94" s="12" t="n"/>
    </row>
    <row r="95" ht="18" customHeight="1">
      <c r="A95" s="13" t="inlineStr">
        <is>
          <t>Q3</t>
        </is>
      </c>
      <c r="B95" s="6" t="inlineStr">
        <is>
          <t>韌體打算閉源商業銷售嗎？</t>
        </is>
      </c>
      <c r="C95" s="6" t="inlineStr">
        <is>
          <t>P1-06, P1-07：決定 GPL／LGPL 依賴要開源還是替換。</t>
        </is>
      </c>
      <c r="D95" s="11" t="n"/>
      <c r="E95" s="11" t="n"/>
      <c r="F95" s="11" t="n"/>
      <c r="G95" s="11" t="n"/>
      <c r="H95" s="11" t="n"/>
      <c r="I95" s="12" t="n"/>
    </row>
    <row r="96" ht="32" customHeight="1">
      <c r="A96" s="13" t="inlineStr">
        <is>
          <t>Q11</t>
        </is>
      </c>
      <c r="B96" s="6" t="inlineStr">
        <is>
          <t>馬會快活的賽馬日版和新春版各多少隻（共 2,500）？</t>
        </is>
      </c>
      <c r="C96" s="6" t="inlineStr">
        <is>
          <t>R-09, R-15：兩款的服裝和配件要分開訂料；11/20 前不知道，PP 樣和大貨單（11/27）會被拖慢。由馬會決定。</t>
        </is>
      </c>
      <c r="D96" s="11" t="n"/>
      <c r="E96" s="11" t="n"/>
      <c r="F96" s="11" t="n"/>
      <c r="G96" s="11" t="n"/>
      <c r="H96" s="11" t="n"/>
      <c r="I96" s="12" t="n"/>
    </row>
    <row r="97" ht="60" customHeight="1">
      <c r="A97" s="13" t="inlineStr">
        <is>
          <t>Q12</t>
        </is>
      </c>
      <c r="B97" s="6" t="inlineStr">
        <is>
          <t>快活 App 的「會員綁定」是指甚麼：用我們自己的帳號（email 驗證碼），還是接馬會的會員帳號登入（SSO）？</t>
        </is>
      </c>
      <c r="C97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7" s="11" t="n"/>
      <c r="E97" s="11" t="n"/>
      <c r="F97" s="11" t="n"/>
      <c r="G97" s="11" t="n"/>
      <c r="H97" s="11" t="n"/>
      <c r="I97" s="12" t="n"/>
    </row>
    <row r="98" ht="46" customHeight="1">
      <c r="A98" s="13" t="inlineStr">
        <is>
          <t>Q13</t>
        </is>
      </c>
      <c r="B98" s="6" t="inlineStr">
        <is>
          <t>政協青年聯會版的角色、語言和內容由誰提供？什麼時候交？</t>
        </is>
      </c>
      <c r="C98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8" s="11" t="n"/>
      <c r="E98" s="11" t="n"/>
      <c r="F98" s="11" t="n"/>
      <c r="G98" s="11" t="n"/>
      <c r="H98" s="11" t="n"/>
      <c r="I98" s="12" t="n"/>
    </row>
    <row r="100">
      <c r="A100" s="10" t="inlineStr">
        <is>
          <t>說明</t>
        </is>
      </c>
    </row>
    <row r="101" ht="32" customHeight="1">
      <c r="A101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2" ht="18" customHeight="1">
      <c r="A102" s="14" t="inlineStr">
        <is>
          <t>・測試結果：未測試 / 通過 / 失敗 / 部分通過。測試證據寫跑了什麼、看到什麼，完整歷史在「更新記錄」。</t>
        </is>
      </c>
    </row>
    <row r="103" ht="18" customHeight="1">
      <c r="A103" s="14" t="inlineStr">
        <is>
          <t>・「接下來」按階段排序，同一階段內再按優先級；依賴還沒滿足的任務不會出現在「接下來」。</t>
        </is>
      </c>
    </row>
    <row r="104" ht="18" customHeight="1">
      <c r="A104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5" ht="32" customHeight="1">
      <c r="A105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6">
    <mergeCell ref="C82:I82"/>
    <mergeCell ref="E52:I52"/>
    <mergeCell ref="E39:I39"/>
    <mergeCell ref="C67:I67"/>
    <mergeCell ref="E48:I48"/>
    <mergeCell ref="A101:I101"/>
    <mergeCell ref="A2:I2"/>
    <mergeCell ref="E29:I29"/>
    <mergeCell ref="E38:I38"/>
    <mergeCell ref="C83:I83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E42:I42"/>
    <mergeCell ref="C91:I91"/>
    <mergeCell ref="A105:I105"/>
    <mergeCell ref="C57:I57"/>
    <mergeCell ref="C66:I66"/>
    <mergeCell ref="E20:I20"/>
    <mergeCell ref="E28:I28"/>
    <mergeCell ref="C77:I77"/>
    <mergeCell ref="C86:I86"/>
    <mergeCell ref="C68:I68"/>
    <mergeCell ref="A100:I100"/>
    <mergeCell ref="C58:I58"/>
    <mergeCell ref="E30:I30"/>
    <mergeCell ref="E22:I22"/>
    <mergeCell ref="A93:I93"/>
    <mergeCell ref="E46:I46"/>
    <mergeCell ref="A102:I102"/>
    <mergeCell ref="C85:I85"/>
    <mergeCell ref="C94:I94"/>
    <mergeCell ref="C65:I65"/>
    <mergeCell ref="C75:I75"/>
    <mergeCell ref="C84:I84"/>
    <mergeCell ref="C80:I80"/>
    <mergeCell ref="E32:I32"/>
    <mergeCell ref="C59:I59"/>
    <mergeCell ref="A1:I1"/>
    <mergeCell ref="E41:I41"/>
    <mergeCell ref="E47:I47"/>
    <mergeCell ref="C61:I61"/>
    <mergeCell ref="C70:I70"/>
    <mergeCell ref="E24:I24"/>
    <mergeCell ref="E33:I33"/>
    <mergeCell ref="A3:I3"/>
    <mergeCell ref="A55:I55"/>
    <mergeCell ref="A104:I104"/>
    <mergeCell ref="E35:I35"/>
    <mergeCell ref="C74:I74"/>
    <mergeCell ref="C88:I88"/>
    <mergeCell ref="E45:I45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A44:I44"/>
    <mergeCell ref="E49:I49"/>
    <mergeCell ref="E27:I27"/>
    <mergeCell ref="E36:I36"/>
    <mergeCell ref="C63:I63"/>
    <mergeCell ref="C56:I56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8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9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部分通過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N78" s="6" t="inlineStr">
        <is>
          <t>補充 2026-10-15（1.7.5，含 R-36）：已綁定時兩次 Wi-Fi 切換各斷網 9–11 秒，都自動重連並重新 auth，沒有停在暫停狀態；30 秒斷網仍未做</t>
        </is>
      </c>
      <c r="O78" s="13" t="inlineStr">
        <is>
          <t>1bd85ac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
[2026-10-15] rebase 衝突在 networkTask：R-36 的暫停條件和 R-41 的 reportPower() 都保留（reportPower 自己檢查連線）。分支未推送。</t>
        </is>
      </c>
    </row>
    <row r="79" ht="409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新增不自動切換網絡；目前 Wi-Fi 消失時按訊號選，或由家長按「改用這個」（⑦）；清單標示「連過／未連過」⑤ 上限 8 個 ⑥ 韌體改動經 OTA 推出 ⑦ 已記住、未在使用的 Wi-Fi 可按「改用這個」：玩具斷開目前網絡改連它，最多 20 秒，要連上我們的伺服器才算成功；失敗就自動連回原網絡，頁面顯示「連不上 X，已回到 Y」；切換中頁面顯示切換中，玩具重新連上後刷新；成功後標示連過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 ⑦ 62:70：對已存的手機熱點按「改用這個」→ 玩具改連熱點並在 30 秒內重新在線、頁面顯示熱點為目前 Wi-Fi；熱點關掉時按「改用這個」→ 20 秒後回到原網絡、頁面顯示失敗原因；對目前 Wi-Fi、未存的 SSID、別人的設備 → 被拒</t>
        </is>
      </c>
      <c r="M79" s="13" t="n"/>
      <c r="N79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O79" s="13" t="inlineStr">
        <is>
          <t>22d7674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
[2026-10-15] 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
[2026-10-15] 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
[2026-10-15] 更正上一條備註：stale『找不到』的修正是 22d7674（切換功能本身是 3c180cd）。
[2026-10-15] 2026-10-15：⑦ 的成功切換在本機測不到（熱點到不了 Mac 上的伺服器），留到部署上 UAT 或雲端後用 iPhone 熱點測一次。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172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已完成</t>
        </is>
      </c>
      <c r="G83" s="13" t="inlineStr">
        <is>
          <t>通過</t>
        </is>
      </c>
      <c r="H83" s="13" t="inlineStr">
        <is>
          <t>2026-10-15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O83" s="13" t="inlineStr">
        <is>
          <t>1d31bb0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
[2026-10-15] 頁面在分頁不可見時不輪詢（設計如此），可見時立即刷新。測完已用 SQL 把 62:70 綁回 multi-device-test@example.test。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409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已完成</t>
        </is>
      </c>
      <c r="G85" s="13" t="inlineStr">
        <is>
          <t>通過</t>
        </is>
      </c>
      <c r="H85" s="13" t="inlineStr">
        <is>
          <t>2026-10-15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即自動暫停（2026-10-14 拿走「同一台重啟 3 次」，見 P2-19）；顯示每個版本已更新、回滾台數與回滾設備清單；顯示 app 分區用量（P2-12）；每個發佈操作寫入審計記錄。</t>
        </is>
      </c>
      <c r="L85" s="6" t="inlineStr">
        <is>
          <t>本機 Supabase 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N8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O85" s="13" t="inlineStr">
        <is>
          <t>e0d7ac6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
[2026-10-14] 2026-10-14 用戶決定拿走「同一台重啟 3 次即暫停」，原因見 P2-19
[2026-10-14] 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
[2026-10-15] 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21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已完成</t>
        </is>
      </c>
      <c r="G92" s="13" t="inlineStr">
        <is>
          <t>通過</t>
        </is>
      </c>
      <c r="H92" s="13" t="inlineStr">
        <is>
          <t>2026-10-14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 即自動暫停該版本並記下原因（台數少的階段第一台回滾就暫停）；暫停後其餘設備不再拿到 ota、映像不再提供下載；已在運行該版本的設備不受影響；自動暫停寫入審計記錄（操作者為空、paused_by 為空、原因以 Auto-paused 開頭）；只能由超級管理員恢復，恢復後要有新的回滾才會再判斷。</t>
        </is>
      </c>
      <c r="L92" s="6" t="inlineStr">
        <is>
          <t>本機模擬 20 台（分支 dev server + 本機 Supabase）：100% 階段 1 台回滾（5%）不暫停；第 2 台回滾（10%）→ 暫停、原因含回滾率，其餘 18 台不再拿到 ota；已運行新版的設備照常；審計多一筆、actor 為空；恢復後保持恢復，第 3 台回滾再暫停；白名單 2 台中 1 台回滾 → 立即暫停；anon 呼叫 ota_maybe_pause → 42501</t>
        </is>
      </c>
      <c r="M92" s="13" t="inlineStr">
        <is>
          <t>P2-18</t>
        </is>
      </c>
      <c r="N92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O92" s="13" t="inlineStr">
        <is>
          <t>9500d50</t>
        </is>
      </c>
      <c r="P92" s="6" t="inlineStr">
        <is>
          <t>[2026-10-14] 新增
[2026-10-14] 2026-10-14 用戶決定提前到第 2 階段，現在開始做
[2026-10-14] 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</t>
        </is>
      </c>
    </row>
    <row r="93" ht="270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已完成</t>
        </is>
      </c>
      <c r="G93" s="13" t="inlineStr">
        <is>
          <t>通過</t>
        </is>
      </c>
      <c r="H93" s="13" t="inlineStr">
        <is>
          <t>2026-10-14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N93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O93" s="13" t="inlineStr">
        <is>
          <t>ebe8dc9</t>
        </is>
      </c>
      <c r="P93" s="6" t="inlineStr">
        <is>
          <t>[2026-10-14] 新增
[2026-10-14] 2026-10-14 用戶決定提前到第 2 階段，現在開始做
[2026-10-14] 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94" ht="116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已完成</t>
        </is>
      </c>
      <c r="G94" s="13" t="inlineStr">
        <is>
          <t>通過</t>
        </is>
      </c>
      <c r="H94" s="13" t="inlineStr">
        <is>
          <t>2026-10-15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N94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O94" s="13" t="inlineStr">
        <is>
          <t>e0d7ac6</t>
        </is>
      </c>
      <c r="P94" s="6" t="inlineStr">
        <is>
          <t>[2026-10-14] 新增
[2026-10-14] 2026-10-14 用戶決定提前到第 2 階段，現在開始做
[2026-10-14] 未完成：依賴 P2-14 的真板測試未做；測試方法中『白名單加 62:70』以模擬設備代替，實機一步歸 P2-16 ④，等板子到手一起做</t>
        </is>
      </c>
    </row>
    <row r="95" ht="409" customHeight="1">
      <c r="A95" s="13" t="inlineStr">
        <is>
          <t>P2-22</t>
        </is>
      </c>
      <c r="B95" s="13" t="inlineStr">
        <is>
          <t>P2</t>
        </is>
      </c>
      <c r="C95" s="13" t="inlineStr">
        <is>
          <t>3 封閉內測</t>
        </is>
      </c>
      <c r="D95" s="6" t="inlineStr">
        <is>
          <t>OTA/韌體</t>
        </is>
      </c>
      <c r="E95" s="6" t="inlineStr">
        <is>
          <t>改服務器網址也不失聯：語音網址由後端下發、後端網址可遷移、已確認韌體長期連不上時自救</t>
        </is>
      </c>
      <c r="F95" s="13" t="inlineStr">
        <is>
          <t>進行中</t>
        </is>
      </c>
      <c r="G95" s="13" t="inlineStr">
        <is>
          <t>部分通過</t>
        </is>
      </c>
      <c r="I95" s="6" t="inlineStr">
        <is>
          <t>OTA 和取 token 都走後端（backend_server），語音伺服器網址（ws_server/ws_path，現為 elatoai.hkqft.com/fastapi/ws/esp32）寫死在韌體裡。日後改 FastAPI 網址就要先推新韌體，而新韌體在試用期內連不上新網址會被回滾；後端網址一改，現有板子連 OTA 都收不到，只能 USB 救。另一個缺口：已確認（過了試用期）的韌體如果之後一直連不上服務器但不崩潰，682f3b4 的連續崩溃切槽不會觸發，板子收不到修復。</t>
        </is>
      </c>
      <c r="J95" s="6" t="inlineStr">
        <is>
          <t>firmware-arduino/src/Config.cpp（ws_server、ws_port、ws_path、backend_server、CF_CA_bundle）、src/OTA.cpp（otaBootCheck、usableOtherSlot）、取 token 的流程；frontend-nextjs 的 /api/generate_auth_token（回應加 voice_url / backend_url）；R-35 的 NVS 網址</t>
        </is>
      </c>
      <c r="K95" s="6" t="inlineStr">
        <is>
          <t>① /api/generate_auth_token 的回應帶 voice_url（wss 主機＋端口＋路徑，來自後端環境變數）；韌體用它連 /ws，並把最後一次成功的值存進 NVS；改 FastAPI 網址只改伺服器設定，不需新韌體 ② 回應沒有 voice_url（舊後端）或新網址連不上時，退回 NVS 上次成功的值，再退回出廠／編譯時的預設值 ③ 後端網址可遷移：回應可帶 backend_url；韌體先存為候選，下次開機用新網址取 token 成功才正式替換，失敗就繼續用舊網址；舊網址在遷移期內保持可用（runbook 寫明保留多久） ④ 已確認的韌體若連續 N 次開機（預設 10 次、跨度至少 24 小時，計數存 NVS）Wi-Fi 已拿到 IP 卻取不到 token：先依次試 NVS、出廠的後端網址；仍失敗且另一個槽可用，就切到另一個槽一次，並在下次連上時把本版本報為失敗 ⑤ 純斷網（拿不到 IP、路由器沒外網）不計入 ④ ⑥ 新網址的證書必須鏈到 CF_CA_bundle 裡的根（GTS Root R4、ISRG Root X1）；換主機或離開 Cloudflare 前先查證書鏈，runbook 寫明 ⑦ 只接受 https 的 backend_url 和 wss 的 voice_url，主機須在韌體內允許的網域後綴之下，防止後端被冒充時把板子引去別處</t>
        </is>
      </c>
      <c r="L95" s="6" t="inlineStr">
        <is>
          <t>① 62:70（-localall）：後端環境變數把 voice_url 改到另一個端口的語音伺服器，重開機 → 連上新的，不需刷機 ② 把 voice_url 改成連不上的地址 → 退回 NVS 上次成功的值，照常對話 ③ backend_url 指向第二個本地後端 → 下次開機在新後端取 token 成功並替換；指向不存在的地址 → 繼續用舊的，對話不中斷 ④ 停掉後端、保留 Wi-Fi，把 N 臨時調小（例如 3 次、跨度 0）→ 第 N 次開機切到另一個槽，恢復後端後該版本被記為失敗 ⑤ 路由器拔掉外網線重開 N 次 → 不切槽 ⑥ 一塊雲端板上用同樣流程驗證 ①（改 elatoai 那套的 voice_url）⑦ 下發不在允許網域後綴之下的網址 → 韌體拒用並在序列埠提示</t>
        </is>
      </c>
      <c r="M95" s="13" t="inlineStr">
        <is>
          <t>R-35</t>
        </is>
      </c>
      <c r="N95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O95" s="13" t="inlineStr">
        <is>
          <t>c0f0e29</t>
        </is>
      </c>
      <c r="P95" s="6" t="inlineStr">
        <is>
          <t>[2026-10-14] 新增
[2026-10-14] 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
[2026-10-15] 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
[2026-10-15] 2026-10-15（用戶決定只記備註、不另開任務）：開機時 tryConnect() 挑訊號最強的已存網絡，但不檢查能否到伺服器。若該網絡本身上不了網（熱點關了流動數據、要網頁登入的酒店 Wi-Fi、寬頻斷了），玩具每次開機都會卡在那裡，即使另一個已存網絡可用。做 ④ 時一併考慮：連上後取不到 token 就改試下一個已存網絡。62:70 連著到不了本機伺服器的 iPhone 熱點時出現過，但那是本機測試環境造成的，雲端不會。</t>
        </is>
      </c>
    </row>
    <row r="96" ht="200" customHeight="1">
      <c r="A96" s="13" t="inlineStr">
        <is>
          <t>P2-23</t>
        </is>
      </c>
      <c r="B96" s="13" t="inlineStr">
        <is>
          <t>P2</t>
        </is>
      </c>
      <c r="C96" s="13" t="inlineStr">
        <is>
          <t>3 封閉內測</t>
        </is>
      </c>
      <c r="D96" s="6" t="inlineStr">
        <is>
          <t>OTA/韌體</t>
        </is>
      </c>
      <c r="E96" s="6" t="inlineStr">
        <is>
          <t>無感 OTA：閒置入睡前在背景下載，下次喚醒時生效</t>
        </is>
      </c>
      <c r="F96" s="13" t="inlineStr">
        <is>
          <t>未開始</t>
        </is>
      </c>
      <c r="G96" s="13" t="inlineStr">
        <is>
          <t>未測試</t>
        </is>
      </c>
      <c r="I96" s="6" t="inlineStr">
        <is>
          <t>現在 OTA 在開機時進行：開機取 token 時後端說要更新，板子就下載、重開，之後才開語音。2026-10-15 在 62:70 實測（本機 HTTP、1.52 MB），從開機到新版本能對話約 15 秒，其中下載 12.8 秒；雲端經 HTTPS／Cloudflare 未量，應更長。孩子按開機後要等這麼久玩具才說話，會覺得壞了。</t>
        </is>
      </c>
      <c r="J96" s="6" t="inlineStr">
        <is>
          <t>firmware-arduino/src/OTA.cpp（otaCheckAndUpdate、installImage）、src/Audio.cpp（enterSleep、閒置睡眠 IDLE_SLEEP_SECONDS）、src/SupplyMonitor.cpp（低電判斷）；伺服器不用改（offer 仍隨 /api/generate_auth_token 回來）</t>
        </is>
      </c>
      <c r="K96" s="6" t="inlineStr">
        <is>
          <t>① 開機只記下 offer，不下載、不重開；照常開 websocket 對話 ② 閒置準備入睡時（websocket 已關，C3 只有一條 TLS），如有未裝的 offer 就下載到另一個槽並校驗 SHA-256，成功後才入睡；下次喚醒的重開即進新版本，試用期與回滾照舊 ③ 下載中按 BOOT（孩子要說話）→ Update.abort，立即回到對話，下次入睡再試；不算失敗次數 ④ 電量低（supplyLow／電池低）不下載 ⑤ 已下載但未生效時再開機，不重複下載（slot 已設為下次啟動） ⑥ 有 offer 超過 N 天（預設 3 天）都沒機會在入睡時裝，就退回開機時安裝 ⑦ 下載期間 LED 和平時入睡一致，不播提示音 ⑧ 可選：映像 gzip 壓縮下載（10-15 實測 1,592,176 → 999,108 bytes），固件邊下邊解壓</t>
        </is>
      </c>
      <c r="L96" s="6" t="inlineStr">
        <is>
          <t>62:70（-localall）：① 發佈新版本後開機 → 串口記下 offer，3 秒內連上語音並播開場白，無下載 ② 閒置至入睡 → 串口顯示下載與 SHA-256 通過後才 Sleeping；按 BOOT 喚醒 → 新版本 on 新槽、probation，120 秒後 confirmed，從按鍵到開場白的時間和沒有更新時相差 ≤ 2 秒 ③ 入睡下載中按 BOOT → 1 秒內回到對話，新槽不生效，下次入睡重下成功 ④ 強制低電 build → 入睡時跳過下載 ⑤ 已下載未生效時拔電重開 → 進新版本、不重下 ⑥ 把 N 調成 0 → 開機即安裝（舊行為）⑦ 量一次雲端 HTTPS 下載時間（等雲端可測時）</t>
        </is>
      </c>
      <c r="M96" s="13" t="inlineStr">
        <is>
          <t>P2-16</t>
        </is>
      </c>
      <c r="P96" s="6" t="inlineStr">
        <is>
          <t>[2026-10-15] 新增
[2026-10-15] 2026-10-15 用戶要求。最好趕上 11/27 交 Spotpear 的出廠映像；趕不上也能經 OTA 推出，只是那一次更新仍要開機時等。依賴 P2-16（分批推送，已完成）。</t>
        </is>
      </c>
    </row>
    <row r="97" ht="144" customHeight="1">
      <c r="A97" s="13" t="inlineStr">
        <is>
          <t>P2-24</t>
        </is>
      </c>
      <c r="B97" s="13" t="inlineStr">
        <is>
          <t>P2</t>
        </is>
      </c>
      <c r="C97" s="13" t="inlineStr">
        <is>
          <t>2 內測準備</t>
        </is>
      </c>
      <c r="D97" s="6" t="inlineStr">
        <is>
          <t>韌體-音訊</t>
        </is>
      </c>
      <c r="E97" s="6" t="inlineStr">
        <is>
          <t>麥克風上行改用 IMA ADPCM（減少 4 倍頻寬）</t>
        </is>
      </c>
      <c r="F97" s="13" t="inlineStr">
        <is>
          <t>進行中</t>
        </is>
      </c>
      <c r="G97" s="13" t="inlineStr">
        <is>
          <t>未測試</t>
        </is>
      </c>
      <c r="I97" s="6" t="inlineStr">
        <is>
          <t>上行仍是從上游 ElatoAI 沿用的未壓縮 16kHz PCM（256 kbps）。2026-10-13 在 51:16:c0 實測：iPhone 熱點上發送最長卡 330ms、說話時 heap 13–20KB、最低 788B、約 5 輪斷 3 次；同板在 HKQF - Guest 20 輪 0 斷、最低 40.9KB。內部測試的家庭有人會用手機熱點。</t>
        </is>
      </c>
      <c r="J97" s="6" t="inlineStr">
        <is>
          <t>firmware-arduino/src/Audio.cpp（麥克風上行發送、websocketExtraHeaders）；server/fastapi/esp32_transport.py（RawPCMFrameSerializer 的輸入）、server.py（/ws/esp32 接受連線）；Python 3.11 內建 audioop，3.13+ 用 audioop-lts</t>
        </is>
      </c>
      <c r="K97" s="6" t="inlineStr">
        <is>
          <t>① 新韌體上行用 IMA ADPCM（64 kbps），每幀帶解碼狀態（預測值＋步長索引），掉幀或重連後下一幀即可正確解碼 ② 連線時以 header 聲明編碼；伺服器據此解碼成 16kHz PCM 再交給 STT；沒有聲明的舊韌體照舊當 PCM ③ 韌體編碼與伺服器解碼位元一致（同一算法）④ 編碼 CPU &lt; 2%、不增加延遲 ⑤ 語音辨識品質與 PCM 相當</t>
        </is>
      </c>
      <c r="L97" s="6" t="inlineStr">
        <is>
          <t>① C 編碼器與 Python audioop 交叉驗證：同一段 PCM，韌體算法編碼 → audioop 解碼 = audioop 自己編碼再解碼的結果 ② pytest：帶 header 的連線解碼正確、無 header 照舊 PCM、壞幀不崩潰 ③ 62:70（Guest）：粵語對話 10 輪，STT 文字與 PCM 版本相當；上行位元組數約為原來 1/4 ④ 雲端可測時：雲端板在 iPhone 熱點重跑 10/13 的量度（發送最長卡頓、說話時 heap、斷線次數），對照 PCM 版本 ⑤ 舊韌體（1.0.1）連新伺服器照常對話</t>
        </is>
      </c>
      <c r="M97" s="13" t="n"/>
      <c r="P97" s="6" t="inlineStr">
        <is>
          <t>[2026-10-15] 新增</t>
        </is>
      </c>
    </row>
    <row r="98" ht="102" customHeight="1">
      <c r="A98" s="13" t="inlineStr">
        <is>
          <t>P2-25</t>
        </is>
      </c>
      <c r="B98" s="13" t="inlineStr">
        <is>
          <t>P2</t>
        </is>
      </c>
      <c r="C98" s="13" t="inlineStr">
        <is>
          <t>2 內測準備</t>
        </is>
      </c>
      <c r="D98" s="6" t="inlineStr">
        <is>
          <t>韌體-網絡</t>
        </is>
      </c>
      <c r="E98" s="6" t="inlineStr">
        <is>
          <t>C3 斷線後自救：TLS 握手超時縮短、連續失敗重設 Wi-Fi 或重開、修重試漏記憶體</t>
        </is>
      </c>
      <c r="F98" s="13" t="inlineStr">
        <is>
          <t>未開始</t>
        </is>
      </c>
      <c r="G98" s="13" t="inlineStr">
        <is>
          <t>未測試</t>
        </is>
      </c>
      <c r="I98" s="6" t="inlineStr">
        <is>
          <t>2026-10-13 在 51:16:c0（熱點）斷線後每次重連卡約 121 秒（TLS 握手超時），持續 26 分鐘不恢復；debug 版本顯示每次失敗的重連漏約 170B heap；韌體不會重設 Wi-Fi 或重開，孩子只見玩具不回應。</t>
        </is>
      </c>
      <c r="J98" s="6" t="inlineStr">
        <is>
          <t>firmware-arduino/src/Audio.cpp（websocketSetup、networkTask 重連）、src/WifiManager.cpp；debug 分支 debug-1.0.1-iwdt 的 heap 記錄工具</t>
        </is>
      </c>
      <c r="K98" s="6" t="inlineStr">
        <is>
          <t>① websocket / HTTPS 的 TLS 握手超時約 15 秒（可調）② 連續 N 次（預設 5）連不上伺服器就重設 Wi-Fi 重連；再連續失敗就 ESP.restart()（試用期內的重開照 OTA 規則處理）③ 失敗的重連不再漏 heap：連續 50 次失敗前後 free heap 差 &lt; 1KB ④ 已綁定設備的正常斷網重連行為不變（R-36 ④）</t>
        </is>
      </c>
      <c r="L98" s="6" t="inlineStr">
        <is>
          <t>① 62:70：停掉語音伺服器 → 串口每次握手失敗 ≤ 15 秒，第 N 次後重設 Wi-Fi、再後重開，恢復伺服器後自動連上 ② 記錄 50 次失敗重連前後的 free heap ③ 雲端可測時在 iPhone 熱點重跑 10/13 情境，斷線後 1 分鐘內恢復對話</t>
        </is>
      </c>
      <c r="M98" s="13" t="inlineStr">
        <is>
          <t>P2-24</t>
        </is>
      </c>
      <c r="P98" s="6" t="inlineStr">
        <is>
          <t>[2026-10-15] 新增</t>
        </is>
      </c>
    </row>
  </sheetData>
  <autoFilter ref="A1:P98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9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  <row r="291" ht="32" customHeight="1">
      <c r="A291" s="13" t="inlineStr">
        <is>
          <t>2026-10-14 20:51</t>
        </is>
      </c>
      <c r="B291" s="13" t="inlineStr">
        <is>
          <t>P2-19</t>
        </is>
      </c>
      <c r="C291" s="6" t="inlineStr">
        <is>
          <t>P2-16 ③ 回滾過多時自動暫停推送</t>
        </is>
      </c>
      <c r="D291" s="13" t="inlineStr">
        <is>
          <t>未開始</t>
        </is>
      </c>
      <c r="E291" s="13" t="inlineStr">
        <is>
          <t>進行中</t>
        </is>
      </c>
      <c r="F291" s="13" t="n"/>
      <c r="G291" s="6" t="n"/>
      <c r="H291" s="13" t="n"/>
      <c r="I291" s="6" t="n"/>
    </row>
    <row r="292" ht="158" customHeight="1">
      <c r="A292" s="13" t="inlineStr">
        <is>
          <t>2026-10-14 20:58</t>
        </is>
      </c>
      <c r="B292" s="13" t="inlineStr">
        <is>
          <t>P2-19</t>
        </is>
      </c>
      <c r="C292" s="6" t="inlineStr">
        <is>
          <t>P2-16 ③ 回滾過多時自動暫停推送</t>
        </is>
      </c>
      <c r="D292" s="13" t="inlineStr">
        <is>
          <t>進行中</t>
        </is>
      </c>
      <c r="E292" s="13" t="inlineStr">
        <is>
          <t>進行中</t>
        </is>
      </c>
      <c r="F292" s="13" t="n"/>
      <c r="G292" s="6" t="n"/>
      <c r="H292" s="13" t="n"/>
      <c r="I292" s="6" t="inlineStr">
        <is>
          <t>2026-10-14 用戶決定拿走「同一台下發/下載 3 次未確認即暫停」：實測中途斷開的下載 3 次有 1 次被當成完整下載（伺服器只知道寫進緩衝區），線上映像經 nginx 和 Cloudflare 會被整個先收下，伺服器永遠看到下載完成；按下發次數計會把網絡不穩（C3 TLS）誤判成壞版本。韌體已把崩潰和試用期內斷電重裝 2 次（OTA_MAX_TRIES）都回報成回滾，由回滾率規則處理。；修改了驗收標準、測試方法</t>
        </is>
      </c>
    </row>
    <row r="293" ht="144" customHeight="1">
      <c r="A293" s="13" t="inlineStr">
        <is>
          <t>2026-10-14 20:58</t>
        </is>
      </c>
      <c r="B293" s="13" t="inlineStr">
        <is>
          <t>P2-19</t>
        </is>
      </c>
      <c r="C293" s="6" t="inlineStr">
        <is>
          <t>P2-16 ③ 回滾過多時自動暫停推送</t>
        </is>
      </c>
      <c r="D293" s="13" t="inlineStr">
        <is>
          <t>進行中</t>
        </is>
      </c>
      <c r="E293" s="13" t="inlineStr">
        <is>
          <t>已完成</t>
        </is>
      </c>
      <c r="F293" s="13" t="inlineStr">
        <is>
          <t>通過</t>
        </is>
      </c>
      <c r="G293" s="6" t="inlineStr">
        <is>
          <t>migration 20261014200000 BEGIN/ROLLBACK 套用兩次無錯並已套用本機。模擬 20 台連跑兩次 12/12：1/20 回滾不暫停、其餘 18 台照常；2/20 → 'Auto-paused: 2 of 20 boards rolled back (10%)'，其餘 0 台拿到 ota；已運行的設備記為 running 且不再下發；審計 1 筆 actor 空；恢復後 17 台拿到、保持恢復，第 3 台回滾 → 'Auto-paused: 3 of 20 (15%)'；白名單 2 台中 1 台回滾 → 50% 立即暫停、另一台不再下發；anon 呼叫 ota_maybe_pause → 401/42501。測試數據已清除，spotpear-ai-toy 1.6.2 仍 100% 未暫停</t>
        </is>
      </c>
      <c r="H293" s="13" t="inlineStr">
        <is>
          <t>9500d50</t>
        </is>
      </c>
      <c r="I293" s="6" t="n"/>
    </row>
    <row r="294" ht="46" customHeight="1">
      <c r="A294" s="13" t="inlineStr">
        <is>
          <t>2026-10-14 20:58</t>
        </is>
      </c>
      <c r="B294" s="13" t="inlineStr">
        <is>
          <t>P2-16</t>
        </is>
      </c>
      <c r="C294" s="6" t="inlineStr">
        <is>
          <t>OTA 分批推送與後台發佈頁</t>
        </is>
      </c>
      <c r="D294" s="13" t="inlineStr">
        <is>
          <t>進行中</t>
        </is>
      </c>
      <c r="E294" s="13" t="inlineStr">
        <is>
          <t>進行中</t>
        </is>
      </c>
      <c r="F294" s="13" t="n"/>
      <c r="G294" s="6" t="n"/>
      <c r="H294" s="13" t="n"/>
      <c r="I294" s="6" t="inlineStr">
        <is>
          <t>2026-10-14 用戶決定拿走「同一台重啟 3 次即暫停」，原因見 P2-19；修改了驗收標準、測試方法</t>
        </is>
      </c>
    </row>
    <row r="295" ht="32" customHeight="1">
      <c r="A295" s="13" t="inlineStr">
        <is>
          <t>2026-10-14 21:00</t>
        </is>
      </c>
      <c r="B295" s="13" t="inlineStr">
        <is>
          <t>P2-20</t>
        </is>
      </c>
      <c r="C295" s="6" t="inlineStr">
        <is>
          <t>P2-16 ④ 從後台上傳與發佈韌體（取代手貼 service key）</t>
        </is>
      </c>
      <c r="D295" s="13" t="inlineStr">
        <is>
          <t>未開始</t>
        </is>
      </c>
      <c r="E295" s="13" t="inlineStr">
        <is>
          <t>進行中</t>
        </is>
      </c>
      <c r="F295" s="13" t="n"/>
      <c r="G295" s="6" t="n"/>
      <c r="H295" s="13" t="n"/>
      <c r="I295" s="6" t="n"/>
    </row>
    <row r="296" ht="200" customHeight="1">
      <c r="A296" s="13" t="inlineStr">
        <is>
          <t>2026-10-14 21:10</t>
        </is>
      </c>
      <c r="B296" s="13" t="inlineStr">
        <is>
          <t>P2-20</t>
        </is>
      </c>
      <c r="C296" s="6" t="inlineStr">
        <is>
          <t>P2-16 ④ 從後台上傳與發佈韌體（取代手貼 service key）</t>
        </is>
      </c>
      <c r="D296" s="13" t="inlineStr">
        <is>
          <t>進行中</t>
        </is>
      </c>
      <c r="E296" s="13" t="inlineStr">
        <is>
          <t>已完成</t>
        </is>
      </c>
      <c r="F296" s="13" t="inlineStr">
        <is>
          <t>通過</t>
        </is>
      </c>
      <c r="G296" s="6" t="inlineStr">
        <is>
          <t>node --test lib/firmwareImage.test.mjs 8/8（合成映像：dev build、無標記、未知板、晶片不符、非映像、截斷/損壞、超 4MB 拒；超 2MB 只警告）。分支 dev server + 本機 Supabase 端到端 16/16（GoTrue 真實登入的 cookie）：超管上傳 9.9.0 release build → 201 草稿（is_current f、rollout 0%），DB SHA-256 = 檔案、storage 原樣；審計 insert 記該超管；設備仍只拿到 current 1.6.2；已有 1.0.2 → 409；localall → 422 dev build；4MB+16 → 422；9MB → 413；PNG → 422；舊 1.6.1 映像（無標記）→ 422 指向 release_firmware.py；內容管理員上傳/刪除 → 403；未登入 → 401；刪 current → 409；超管刪草稿 → 行和映像都刪、審計 delete 記該超管。release_firmware.py list 照常。測試帳號與數據已清除</t>
        </is>
      </c>
      <c r="H296" s="13" t="inlineStr">
        <is>
          <t>ebe8dc9</t>
        </is>
      </c>
      <c r="I296" s="6" t="inlineStr">
        <is>
          <t>做法：韌體 OTA.cpp 加 BUILD_INFO 字串（kind=release/dev;board;version），伺服器從映像讀板型和版本，不用手填；DEV_MODE/LOCAL_WS_HOST/LOCAL_BACKEND_HOST/AUDIO_SELFTEST 為 dev。只有加了標記之後編譯的韌體能從後台上傳，之前的仍用 release_firmware.py。部署注意：① 網頁的 nginx location 很可能仍是預設 1MB 上限（/supabase-api/ 已改 16m），上傳 1.6MB 映像會 413，部署時要加 client_max_body_size 16m 並用 curl 驗證 ② 依賴 P1-10 的審計表（本機已有，線上隨 10-14 release 部署）</t>
        </is>
      </c>
    </row>
    <row r="297" ht="32" customHeight="1">
      <c r="A297" s="13" t="inlineStr">
        <is>
          <t>2026-10-14 21:47</t>
        </is>
      </c>
      <c r="B297" s="13" t="inlineStr">
        <is>
          <t>P2-21</t>
        </is>
      </c>
      <c r="C297" s="6" t="inlineStr">
        <is>
          <t>P2-16 ⑤ 後台 OTA 頁換成真實數據與操作</t>
        </is>
      </c>
      <c r="D297" s="13" t="inlineStr">
        <is>
          <t>未開始</t>
        </is>
      </c>
      <c r="E297" s="13" t="inlineStr">
        <is>
          <t>進行中</t>
        </is>
      </c>
      <c r="F297" s="13" t="n"/>
      <c r="G297" s="6" t="n"/>
      <c r="H297" s="13" t="n"/>
      <c r="I297" s="6" t="n"/>
    </row>
    <row r="298" ht="270" customHeight="1">
      <c r="A298" s="13" t="inlineStr">
        <is>
          <t>2026-10-14 21:59</t>
        </is>
      </c>
      <c r="B298" s="13" t="inlineStr">
        <is>
          <t>P2-21</t>
        </is>
      </c>
      <c r="C298" s="6" t="inlineStr">
        <is>
          <t>P2-16 ⑤ 後台 OTA 頁換成真實數據與操作</t>
        </is>
      </c>
      <c r="D298" s="13" t="inlineStr">
        <is>
          <t>進行中</t>
        </is>
      </c>
      <c r="E298" s="13" t="inlineStr">
        <is>
          <t>進行中</t>
        </is>
      </c>
      <c r="F298" s="13" t="inlineStr">
        <is>
          <t>部分通過</t>
        </is>
      </c>
      <c r="G298" s="6" t="inlineStr">
        <is>
          <t>本機（分支 dev server 3216 + 本機 Supabase，GoTrue 真實登入的超管 cookie），用 xmini-c3 板型 + 20 台模擬設備以免碰到真開發板：頁面上傳 9.9.0 → 草稿；白名單加 1 台（UI 選單）→ 存檔；設為 current → 頁面預測 1 台、模擬 1 台；推進 10% → 預測 4、實得 4（重複不變）；50% → 預測 9、實得 9 且包含 10% 全部；100% → 20/20。2 台回滾 → 頁面顯示 'Paused … by the server: Auto-paused: 2 of 20 boards rolled back (10%)' 與回滾清單 2 台；點回滾設備 → 設備頁已帶 MAC 搜尋；恢復 → 其餘 18 台再拿到、回滾的 2 台不再下發；手動暫停未填原因不能確認、填後顯示 'by an admin'。審計頁 9 筆（上傳、白名單、current、10/50/100%、系統暫停、恢復、手動暫停），系統暫停顯示 System。375px scrollWidth=375。內容管理員側欄只有 Characters/IPs、#ota 退回 Characters、頁面無 OTA 數據，直接呼叫 admin_change_firmware_rollout → 403/42501。測試中發現並修正：舊版本（含 63:64 仍在跑的 1.6.1）被當成可刪除的草稿（6c2dc9d）。測試數據已清除</t>
        </is>
      </c>
      <c r="H298" s="13" t="inlineStr">
        <is>
          <t>e0d7ac6</t>
        </is>
      </c>
      <c r="I298" s="6" t="inlineStr">
        <is>
          <t>未完成：依賴 P2-14 的真板測試未做；測試方法中『白名單加 62:70』以模擬設備代替，實機一步歸 P2-16 ④，等板子到手一起做</t>
        </is>
      </c>
    </row>
    <row r="299" ht="144" customHeight="1">
      <c r="A299" s="13" t="inlineStr">
        <is>
          <t>2026-10-14 21:59</t>
        </is>
      </c>
      <c r="B299" s="13" t="inlineStr">
        <is>
          <t>P2-16</t>
        </is>
      </c>
      <c r="C299" s="6" t="inlineStr">
        <is>
          <t>OTA 分批推送與後台發佈頁</t>
        </is>
      </c>
      <c r="D299" s="13" t="inlineStr">
        <is>
          <t>進行中</t>
        </is>
      </c>
      <c r="E299" s="13" t="inlineStr">
        <is>
          <t>進行中</t>
        </is>
      </c>
      <c r="F299" s="13" t="inlineStr">
        <is>
          <t>部分通過</t>
        </is>
      </c>
      <c r="G299" s="6" t="inlineStr">
        <is>
          <t>子任務 P2-17～P2-20 通過、P2-21 部分通過（等 P2-14）。① 10% 階段只有雜湊預測的那組拿到、重複不變（P2-18、P2-21）② 2 台回滾 → 自動暫停、其餘不再拿到（P2-19、P2-21）③ 100% 全部拿到 ⑤ 審計表有每次階段變更（P2-21 9 筆）。未做：④ 開發板 62:70 實機走一次白名單階段（用戶目前手上沒有板子），同時驗證新韌體開機印出 BUILD_INFO</t>
        </is>
      </c>
      <c r="H299" s="13" t="n"/>
      <c r="I299" s="6" t="inlineStr">
        <is>
          <t>部署清單：① migrations 20261014190000、200000、210000、220000（依序，在 10-14 release 的 7 個之後）② 網頁 image ③ nginx 網頁 location 加 client_max_body_size 16m，curl 上傳 2MB 不得 413 ④ 韌體 BUILD_INFO 隨下一版韌體出，之前的版本仍用 release_firmware.py 發佈。分支 p2-16-ota-rollout 6 個 commit，未合併 dev、未推送</t>
        </is>
      </c>
    </row>
    <row r="300" ht="46" customHeight="1">
      <c r="A300" s="13" t="inlineStr">
        <is>
          <t>2026-10-14 22:19</t>
        </is>
      </c>
      <c r="B300" s="13" t="inlineStr">
        <is>
          <t>P2-22</t>
        </is>
      </c>
      <c r="C300" s="6" t="inlineStr">
        <is>
          <t>改服務器網址也不失聯：語音網址由後端下發、後端網址可遷移、已確認韌體長期連不上時自救</t>
        </is>
      </c>
      <c r="E300" s="13" t="inlineStr">
        <is>
          <t>未開始</t>
        </is>
      </c>
      <c r="I300" s="6" t="inlineStr">
        <is>
          <t>新增任務</t>
        </is>
      </c>
    </row>
    <row r="301" ht="102" customHeight="1">
      <c r="A301" s="13" t="inlineStr">
        <is>
          <t>2026-10-14 22:19</t>
        </is>
      </c>
      <c r="B301" s="13" t="inlineStr">
        <is>
          <t>P2-22</t>
        </is>
      </c>
      <c r="C301" s="6" t="inlineStr">
        <is>
          <t>改服務器網址也不失聯：語音網址由後端下發、後端網址可遷移、已確認韌體長期連不上時自救</t>
        </is>
      </c>
      <c r="D301" s="13" t="inlineStr">
        <is>
          <t>未開始</t>
        </is>
      </c>
      <c r="E301" s="13" t="inlineStr">
        <is>
          <t>未開始</t>
        </is>
      </c>
      <c r="F301" s="13" t="n"/>
      <c r="G301" s="6" t="n"/>
      <c r="H301" s="13" t="n"/>
      <c r="I301" s="6" t="inlineStr">
        <is>
          <t>2026-10-14 用戶要求：日後改 FastAPI 網址，板子仍要能 OTA 並連上。① 後端改動可隨時部署；②–⑦ 的韌體部分必須在 11/27 交 Spotpear 的出廠映像之前完成，出廠後才加的話，已出貨的板子靠 OTA 也能拿到，但前提是當時的網址還連得上。</t>
        </is>
      </c>
    </row>
    <row r="302" ht="46" customHeight="1">
      <c r="A302" s="13" t="inlineStr">
        <is>
          <t>2026-10-15 09:15</t>
        </is>
      </c>
      <c r="B302" s="13" t="inlineStr">
        <is>
          <t>P2-22</t>
        </is>
      </c>
      <c r="C302" s="6" t="inlineStr">
        <is>
          <t>改服務器網址也不失聯：語音網址由後端下發、後端網址可遷移、已確認韌體長期連不上時自救</t>
        </is>
      </c>
      <c r="D302" s="13" t="inlineStr">
        <is>
          <t>未開始</t>
        </is>
      </c>
      <c r="E302" s="13" t="inlineStr">
        <is>
          <t>進行中</t>
        </is>
      </c>
      <c r="F302" s="13" t="n"/>
      <c r="G302" s="6" t="n"/>
      <c r="H302" s="13" t="n"/>
      <c r="I302" s="6" t="n"/>
    </row>
    <row r="303" ht="144" customHeight="1">
      <c r="A303" s="13" t="inlineStr">
        <is>
          <t>2026-10-15 09:15</t>
        </is>
      </c>
      <c r="B303" s="13" t="inlineStr">
        <is>
          <t>P2-22</t>
        </is>
      </c>
      <c r="C303" s="6" t="inlineStr">
        <is>
          <t>改服務器網址也不失聯：語音網址由後端下發、後端網址可遷移、已確認韌體長期連不上時自救</t>
        </is>
      </c>
      <c r="D303" s="13" t="inlineStr">
        <is>
          <t>進行中</t>
        </is>
      </c>
      <c r="E303" s="13" t="inlineStr">
        <is>
          <t>進行中</t>
        </is>
      </c>
      <c r="F303" s="13" t="inlineStr">
        <is>
          <t>部分通過</t>
        </is>
      </c>
      <c r="G303" s="6" t="inlineStr">
        <is>
          <t>後端部分（分支 p2-22-server-urls）：node --test lib/deviceServerUrls.test.mjs 5/5、tsc 0 錯誤。worktree dev server 3222 + 本機 Supabase，兩塊假板（02:22:…:01/02）：已認領 200 帶 voice_url + backend_url；未認領 202 只帶 backend_url；DEVICE_VOICE_URL=ws://fastapi:7860/… → 不發、日誌記錯誤；兩個變數都不設 → 兩個欄位都不帶；生產值 → wss://elatoai.hkqft.com/fastapi/ws/esp32、https://elatoai.hkqft.com。測試數據已清除</t>
        </is>
      </c>
      <c r="H303" s="13" t="inlineStr">
        <is>
          <t>c0f0e29</t>
        </is>
      </c>
      <c r="I303" s="6" t="inlineStr">
        <is>
          <t>未完成：韌體部分（①② 使用 voice_url 並在 NVS 記上次成功的值、③ 候選 backend_url、④⑤ 連續 10 次開機連不上就切槽、⑦ 允許的網域後綴）未開始，要用 62:70 實機測；runbook（③ 舊網址保留多久、⑥ 證書鏈檢查）未寫。部署：.env.production 加 DEVICE_VOICE_URL、DEVICE_BACKEND_URL；舊韌體會忽略這兩個欄位，可以先上後端。分支未合併 dev、未推送</t>
        </is>
      </c>
    </row>
    <row r="304" ht="144" customHeight="1">
      <c r="A304" s="13" t="inlineStr">
        <is>
          <t>2026-10-15 09:43</t>
        </is>
      </c>
      <c r="B304" s="13" t="inlineStr">
        <is>
          <t>P2-14</t>
        </is>
      </c>
      <c r="C304" s="6" t="inlineStr">
        <is>
          <t>Admin 設備頁：每台玩具的狀態、韌體與基本操作</t>
        </is>
      </c>
      <c r="D304" s="13" t="inlineStr">
        <is>
          <t>進行中</t>
        </is>
      </c>
      <c r="E304" s="13" t="inlineStr">
        <is>
          <t>已完成</t>
        </is>
      </c>
      <c r="F304" s="13" t="inlineStr">
        <is>
          <t>通過</t>
        </is>
      </c>
      <c r="G304" s="6" t="inlineStr">
        <is>
          <t>真機 62:70（2026-10-15，分支 hw-test-1015 = dev+P2-16，-localall 1.7.0，本機網頁 3230 + 語音 7870）：① 開機 → 設備頁 Online、-67 dBm、1.7.0；板子停在 bootloader 約 38 秒後語音伺服器判離線（uvicorn ping 超時），頁面 0 台在線 ② 重置設備密鑰 → device_secrets 行刪除，板子重開印『Device secret issued and stored』並連上，行恢復 ③ 強制解綁 → 板子拿 202（配對碼 UKDM7N），語音伺服器拒絕連線；兩項審計各 1 筆含操作者與原因 ④ 內容管理員/anon → 42501（10-14 探測腳本）</t>
        </is>
      </c>
      <c r="H304" s="13" t="inlineStr">
        <is>
          <t>1d31bb0</t>
        </is>
      </c>
      <c r="I304" s="6" t="inlineStr">
        <is>
          <t>頁面在分頁不可見時不輪詢（設計如此），可見時立即刷新。測完已用 SQL 把 62:70 綁回 multi-device-test@example.test。</t>
        </is>
      </c>
    </row>
    <row r="305" ht="144" customHeight="1">
      <c r="A305" s="13" t="inlineStr">
        <is>
          <t>2026-10-15 09:43</t>
        </is>
      </c>
      <c r="B305" s="13" t="inlineStr">
        <is>
          <t>P2-16</t>
        </is>
      </c>
      <c r="C305" s="6" t="inlineStr">
        <is>
          <t>OTA 分批推送與後台發佈頁</t>
        </is>
      </c>
      <c r="D305" s="13" t="inlineStr">
        <is>
          <t>進行中</t>
        </is>
      </c>
      <c r="E305" s="13" t="inlineStr">
        <is>
          <t>已完成</t>
        </is>
      </c>
      <c r="F305" s="13" t="inlineStr">
        <is>
          <t>通過</t>
        </is>
      </c>
      <c r="G305" s="6" t="inlineStr">
        <is>
          <t>④ 真機 62:70（2026-10-15）：USB 刷 1.7.0（開機印 aibuddy-build;kind=dev;…;version=1.7.0）→ release_firmware.py publish --dev 1.7.1 → 後台白名單加 62:70、改白名單階段、設為 current → 按 BOOT 喚醒：取 token 200、下載 12.8s、重開進 app1，09:39:36 連上語音伺服器；09:42 重開 → 『Firmware 1.7.1 on app1』無 probation、Up to date；頁面『Rolling out · Whitelist』運行 1 台、回滾 0；審計 5 筆（發佈、白名單、階段、1.6.2 取消 current、1.7.1 設 current）。①②③⑤ 見 P2-17～P2-21 模擬 20 台</t>
        </is>
      </c>
      <c r="H305" s="13" t="inlineStr">
        <is>
          <t>e0d7ac6</t>
        </is>
      </c>
      <c r="I305" s="6" t="inlineStr">
        <is>
          <t>附帶：一開始本機 current 是 1.6.2（以舊 IP/端口編譯），1.7.0 開機就被推 1.6.2，裝上後連不上，試用期內重開即回到 1.7.0（非崩潰，判定會再試），回滾路徑實機正常。之後用 SQL 暫停 1.6.2。用腳本發佈的新版本要重新載入 OTA 頁才出現。</t>
        </is>
      </c>
    </row>
    <row r="306" ht="88" customHeight="1">
      <c r="A306" s="13" t="inlineStr">
        <is>
          <t>2026-10-15 09:43</t>
        </is>
      </c>
      <c r="B306" s="13" t="inlineStr">
        <is>
          <t>P2-21</t>
        </is>
      </c>
      <c r="C306" s="6" t="inlineStr">
        <is>
          <t>P2-16 ⑤ 後台 OTA 頁換成真實數據與操作</t>
        </is>
      </c>
      <c r="D306" s="13" t="inlineStr">
        <is>
          <t>進行中</t>
        </is>
      </c>
      <c r="E306" s="13" t="inlineStr">
        <is>
          <t>已完成</t>
        </is>
      </c>
      <c r="F306" s="13" t="inlineStr">
        <is>
          <t>通過</t>
        </is>
      </c>
      <c r="G306" s="6" t="inlineStr">
        <is>
          <t>10-14 模擬 20 台全部通過（見上次）；2026-10-15 真機補做：OTA 頁對 1.7.1 白名單加 62:70（UI MAC 欄）→ 存檔確認框 → 『Narrow to Whitelist』確認 → Make current（用戶點）→ 62:70 安裝並確認，頁面顯示 Rolling out · Whitelist、運行 1、回滾 0；每步一筆審計。依賴 P2-14 已完成</t>
        </is>
      </c>
      <c r="H306" s="13" t="inlineStr">
        <is>
          <t>e0d7ac6</t>
        </is>
      </c>
      <c r="I306" s="6" t="n"/>
    </row>
    <row r="307" ht="144" customHeight="1">
      <c r="A307" s="13" t="inlineStr">
        <is>
          <t>2026-10-15 09:48</t>
        </is>
      </c>
      <c r="B307" s="13" t="inlineStr">
        <is>
          <t>R-36</t>
        </is>
      </c>
      <c r="C307" s="6" t="inlineStr">
        <is>
          <t>未認領的設備停在配對狀態，不再每秒重連 websocket</t>
        </is>
      </c>
      <c r="D307" s="13" t="inlineStr">
        <is>
          <t>進行中</t>
        </is>
      </c>
      <c r="E307" s="13" t="inlineStr">
        <is>
          <t>進行中</t>
        </is>
      </c>
      <c r="F307" s="13" t="inlineStr">
        <is>
          <t>部分通過</t>
        </is>
      </c>
      <c r="G307" s="6" t="inlineStr">
        <is>
          <t>真機 62:70（2026-10-15，r-36 rebase 到 dev 1bd85ac，-localall 1.7.2，本機 3230/7870）：① 09:45:10 後台解綁 → 語音伺服器只在 09:45:11 拒絕 1 次，串口『device token refused, pausing』，之後只見 generate_auth_token 202 輪詢（約 70 秒 4 次）② 09:46:36 重新認領 → 09:46:53 自動連上（17 秒）並播出開場白，沒按鍵、沒重開 ④ 對照：改動前 1.7.0 解綁後每秒被拒 1 次（約 57 次/分鐘）。未做：③ 已綁定時斷網 30 秒再恢復；洋紅慢閃燈號未目視；⑤ 隨 OTA 推出</t>
        </is>
      </c>
      <c r="H307" s="13" t="inlineStr">
        <is>
          <t>1bd85ac</t>
        </is>
      </c>
      <c r="I307" s="6" t="inlineStr">
        <is>
          <t>rebase 衝突在 networkTask：R-36 的暫停條件和 R-41 的 reportPower() 都保留（reportPower 自己檢查連線）。分支未推送。</t>
        </is>
      </c>
    </row>
    <row r="308" ht="32" customHeight="1">
      <c r="A308" s="13" t="inlineStr">
        <is>
          <t>2026-10-15 09:50</t>
        </is>
      </c>
      <c r="B308" s="13" t="inlineStr">
        <is>
          <t>P2-23</t>
        </is>
      </c>
      <c r="C308" s="6" t="inlineStr">
        <is>
          <t>無感 OTA：閒置入睡前在背景下載，下次喚醒時生效</t>
        </is>
      </c>
      <c r="E308" s="13" t="inlineStr">
        <is>
          <t>未開始</t>
        </is>
      </c>
      <c r="I308" s="6" t="inlineStr">
        <is>
          <t>新增任務</t>
        </is>
      </c>
    </row>
    <row r="309" ht="74" customHeight="1">
      <c r="A309" s="13" t="inlineStr">
        <is>
          <t>2026-10-15 09:50</t>
        </is>
      </c>
      <c r="B309" s="13" t="inlineStr">
        <is>
          <t>P2-23</t>
        </is>
      </c>
      <c r="C309" s="6" t="inlineStr">
        <is>
          <t>無感 OTA：閒置入睡前在背景下載，下次喚醒時生效</t>
        </is>
      </c>
      <c r="D309" s="13" t="inlineStr">
        <is>
          <t>未開始</t>
        </is>
      </c>
      <c r="E309" s="13" t="inlineStr">
        <is>
          <t>未開始</t>
        </is>
      </c>
      <c r="F309" s="13" t="n"/>
      <c r="G309" s="6" t="n"/>
      <c r="H309" s="13" t="n"/>
      <c r="I309" s="6" t="inlineStr">
        <is>
          <t>2026-10-15 用戶要求。最好趕上 11/27 交 Spotpear 的出廠映像；趕不上也能經 OTA 推出，只是那一次更新仍要開機時等。依賴 P2-16（分批推送，已完成）。</t>
        </is>
      </c>
    </row>
    <row r="310" ht="116" customHeight="1">
      <c r="A310" s="13" t="inlineStr">
        <is>
          <t>2026-10-15 10:04</t>
        </is>
      </c>
      <c r="B310" s="13" t="inlineStr">
        <is>
          <t>R-37</t>
        </is>
      </c>
      <c r="C310" s="6" t="inlineStr">
        <is>
          <t>網頁設定玩具的 Wi-Fi：查看、新增、刪除</t>
        </is>
      </c>
      <c r="D310" s="13" t="inlineStr">
        <is>
          <t>進行中</t>
        </is>
      </c>
      <c r="E310" s="13" t="inlineStr">
        <is>
          <t>進行中</t>
        </is>
      </c>
      <c r="F310" s="13" t="n"/>
      <c r="G310" s="6" t="n"/>
      <c r="H310" s="13" t="n"/>
      <c r="I310" s="6" t="inlineStr">
        <is>
          <t>2026-10-15 用戶決定：加「改用這個 Wi-Fi」（⑦），④ 改為新增不自動切換、可由家長手動切換。起因：62:70 實測加了 iPhone 熱點也無法讓玩具改用。另：離線一律顯示「睡著了」會誤導（63:64 已 6 天未上線仍叫人按按鈕），待改為按上次上線時間分開提示。；修改了驗收標準、測試方法</t>
        </is>
      </c>
    </row>
    <row r="311" ht="200" customHeight="1">
      <c r="A311" s="13" t="inlineStr">
        <is>
          <t>2026-10-15 10:26</t>
        </is>
      </c>
      <c r="B311" s="13" t="inlineStr">
        <is>
          <t>R-37</t>
        </is>
      </c>
      <c r="C311" s="6" t="inlineStr">
        <is>
          <t>網頁設定玩具的 Wi-Fi：查看、新增、刪除</t>
        </is>
      </c>
      <c r="D311" s="13" t="inlineStr">
        <is>
          <t>進行中</t>
        </is>
      </c>
      <c r="E311" s="13" t="inlineStr">
        <is>
          <t>進行中</t>
        </is>
      </c>
      <c r="F311" s="13" t="inlineStr">
        <is>
          <t>部分通過</t>
        </is>
      </c>
      <c r="G311" s="6" t="inlineStr">
        <is>
          <t>2026-10-15 真機 62:70（hw-test-1015 = dev + P2-16 + R-36 + r-37-wifi-switch，1.7.5，本機 3230/7870）：① 熱點關掉 → 醒來重開後改連 HKQF - Guest 並上線（運行中途消失未單獨測）⑦ Use 按鈕、確認框（寫明 20 秒退回原網絡）、切換中提示都正常；熱點關著按 Use → 11 秒內頁面『couldn't find … nearby. It's back on HKQF - Guest』；熱點開著（到不了 Mac）→ 9 秒內『joined … but couldn't reach the internet … back on HKQF - Guest』，串口 failed (no_internet) → Back on；切換到目前網絡 → current、未存 SSID → unknown，板子不動。pytest 272 passed（新增 6 項），tsc 0 錯誤。未做：⑦ 成功切換（要第二個到得了 Mac 的網絡）、別人設備呼叫 switch → 403（同一個擁有者檢查，未對 switch 重測）、② 密碼打錯</t>
        </is>
      </c>
      <c r="H311" s="13" t="inlineStr">
        <is>
          <t>3c180cd</t>
        </is>
      </c>
      <c r="I311" s="6" t="inlineStr">
        <is>
          <t>測試中修了原有 bug（a4 之後第二個 commit）：驅動在沒連上的網絡斷開時不發事件，WiFi.status() 留著上次的『找不到』，新嘗試一開始就被當失敗；1.7.4 切換失敗後連不回 Guest 並掉進 SoftAP，tryConnect() 也同樣。joinFor() 改為 6 秒後才相信失敗，tryConnect() 共用。雲端韌體同樣有這 bug。另：開機時 tryConnect() 挑最強的網絡但不檢查能否到伺服器，62:70 開機連上到不了 Mac 的熱點後一直卡著（見 P2-22 ④ 或另開任務）。分支 r-37-wifi-switch 未推送。</t>
        </is>
      </c>
    </row>
    <row r="312" ht="46" customHeight="1">
      <c r="A312" s="13" t="inlineStr">
        <is>
          <t>2026-10-15 10:26</t>
        </is>
      </c>
      <c r="B312" s="13" t="inlineStr">
        <is>
          <t>R-36</t>
        </is>
      </c>
      <c r="C312" s="6" t="inlineStr">
        <is>
          <t>未認領的設備停在配對狀態，不再每秒重連 websocket</t>
        </is>
      </c>
      <c r="D312" s="13" t="inlineStr">
        <is>
          <t>進行中</t>
        </is>
      </c>
      <c r="E312" s="13" t="inlineStr">
        <is>
          <t>進行中</t>
        </is>
      </c>
      <c r="F312" s="13" t="inlineStr">
        <is>
          <t>部分通過</t>
        </is>
      </c>
      <c r="G312" s="6" t="inlineStr">
        <is>
          <t>補充 2026-10-15（1.7.5，含 R-36）：已綁定時兩次 Wi-Fi 切換各斷網 9–11 秒，都自動重連並重新 auth，沒有停在暫停狀態；30 秒斷網仍未做</t>
        </is>
      </c>
      <c r="H312" s="13" t="n"/>
      <c r="I312" s="6" t="n"/>
    </row>
    <row r="313" ht="46" customHeight="1">
      <c r="A313" s="13" t="inlineStr">
        <is>
          <t>2026-10-15 10:26</t>
        </is>
      </c>
      <c r="B313" s="13" t="inlineStr">
        <is>
          <t>R-37</t>
        </is>
      </c>
      <c r="C313" s="6" t="inlineStr">
        <is>
          <t>網頁設定玩具的 Wi-Fi：查看、新增、刪除</t>
        </is>
      </c>
      <c r="D313" s="13" t="inlineStr">
        <is>
          <t>進行中</t>
        </is>
      </c>
      <c r="E313" s="13" t="inlineStr">
        <is>
          <t>進行中</t>
        </is>
      </c>
      <c r="F313" s="13" t="n"/>
      <c r="G313" s="6" t="n"/>
      <c r="H313" s="13" t="inlineStr">
        <is>
          <t>22d7674</t>
        </is>
      </c>
      <c r="I313" s="6" t="inlineStr">
        <is>
          <t>更正上一條備註：stale『找不到』的修正是 22d7674（切換功能本身是 3c180cd）。</t>
        </is>
      </c>
    </row>
    <row r="314" ht="32" customHeight="1">
      <c r="A314" s="13" t="inlineStr">
        <is>
          <t>2026-10-15 10:29</t>
        </is>
      </c>
      <c r="B314" s="13" t="inlineStr">
        <is>
          <t>P2-24</t>
        </is>
      </c>
      <c r="C314" s="6" t="inlineStr">
        <is>
          <t>麥克風上行改用 IMA ADPCM（減少 4 倍頻寬）</t>
        </is>
      </c>
      <c r="E314" s="13" t="inlineStr">
        <is>
          <t>未開始</t>
        </is>
      </c>
      <c r="I314" s="6" t="inlineStr">
        <is>
          <t>新增任務</t>
        </is>
      </c>
    </row>
    <row r="315" ht="46" customHeight="1">
      <c r="A315" s="13" t="inlineStr">
        <is>
          <t>2026-10-15 10:29</t>
        </is>
      </c>
      <c r="B315" s="13" t="inlineStr">
        <is>
          <t>P2-25</t>
        </is>
      </c>
      <c r="C315" s="6" t="inlineStr">
        <is>
          <t>C3 斷線後自救：TLS 握手超時縮短、連續失敗重設 Wi-Fi 或重開、修重試漏記憶體</t>
        </is>
      </c>
      <c r="E315" s="13" t="inlineStr">
        <is>
          <t>未開始</t>
        </is>
      </c>
      <c r="I315" s="6" t="inlineStr">
        <is>
          <t>新增任務</t>
        </is>
      </c>
    </row>
    <row r="316" ht="46" customHeight="1">
      <c r="A316" s="13" t="inlineStr">
        <is>
          <t>2026-10-15 10:29</t>
        </is>
      </c>
      <c r="B316" s="13" t="inlineStr">
        <is>
          <t>P2-25</t>
        </is>
      </c>
      <c r="C316" s="6" t="inlineStr">
        <is>
          <t>C3 斷線後自救：TLS 握手超時縮短、連續失敗重設 Wi-Fi 或重開、修重試漏記憶體</t>
        </is>
      </c>
      <c r="D316" s="13" t="inlineStr">
        <is>
          <t>未開始</t>
        </is>
      </c>
      <c r="E316" s="13" t="inlineStr">
        <is>
          <t>未開始</t>
        </is>
      </c>
      <c r="F316" s="13" t="n"/>
      <c r="G316" s="6" t="n"/>
      <c r="H316" s="13" t="n"/>
      <c r="I316" s="6" t="inlineStr">
        <is>
          <t>修改了依賴→</t>
        </is>
      </c>
    </row>
    <row r="317" ht="32" customHeight="1">
      <c r="A317" s="13" t="inlineStr">
        <is>
          <t>2026-10-15 10:29</t>
        </is>
      </c>
      <c r="B317" s="13" t="inlineStr">
        <is>
          <t>P2-24</t>
        </is>
      </c>
      <c r="C317" s="6" t="inlineStr">
        <is>
          <t>麥克風上行改用 IMA ADPCM（減少 4 倍頻寬）</t>
        </is>
      </c>
      <c r="D317" s="13" t="inlineStr">
        <is>
          <t>未開始</t>
        </is>
      </c>
      <c r="E317" s="13" t="inlineStr">
        <is>
          <t>進行中</t>
        </is>
      </c>
      <c r="F317" s="13" t="n"/>
      <c r="G317" s="6" t="n"/>
      <c r="H317" s="13" t="n"/>
      <c r="I317" s="6" t="n"/>
    </row>
    <row r="318" ht="158" customHeight="1">
      <c r="A318" s="13" t="inlineStr">
        <is>
          <t>2026-10-15 10:29</t>
        </is>
      </c>
      <c r="B318" s="13" t="inlineStr">
        <is>
          <t>P2-22</t>
        </is>
      </c>
      <c r="C318" s="6" t="inlineStr">
        <is>
          <t>改服務器網址也不失聯：語音網址由後端下發、後端網址可遷移、已確認韌體長期連不上時自救</t>
        </is>
      </c>
      <c r="D318" s="13" t="inlineStr">
        <is>
          <t>進行中</t>
        </is>
      </c>
      <c r="E318" s="13" t="inlineStr">
        <is>
          <t>進行中</t>
        </is>
      </c>
      <c r="F318" s="13" t="n"/>
      <c r="G318" s="6" t="n"/>
      <c r="H318" s="13" t="n"/>
      <c r="I318" s="6" t="inlineStr">
        <is>
          <t>2026-10-15（用戶決定只記備註、不另開任務）：開機時 tryConnect() 挑訊號最強的已存網絡，但不檢查能否到伺服器。若該網絡本身上不了網（熱點關了流動數據、要網頁登入的酒店 Wi-Fi、寬頻斷了），玩具每次開機都會卡在那裡，即使另一個已存網絡可用。做 ④ 時一併考慮：連上後取不到 token 就改試下一個已存網絡。62:70 連著到不了本機伺服器的 iPhone 熱點時出現過，但那是本機測試環境造成的，雲端不會。</t>
        </is>
      </c>
    </row>
    <row r="319" ht="60" customHeight="1">
      <c r="A319" s="13" t="inlineStr">
        <is>
          <t>2026-10-15 10:29</t>
        </is>
      </c>
      <c r="B319" s="13" t="inlineStr">
        <is>
          <t>R-37</t>
        </is>
      </c>
      <c r="C319" s="6" t="inlineStr">
        <is>
          <t>網頁設定玩具的 Wi-Fi：查看、新增、刪除</t>
        </is>
      </c>
      <c r="D319" s="13" t="inlineStr">
        <is>
          <t>進行中</t>
        </is>
      </c>
      <c r="E319" s="13" t="inlineStr">
        <is>
          <t>進行中</t>
        </is>
      </c>
      <c r="F319" s="13" t="n"/>
      <c r="G319" s="6" t="n"/>
      <c r="H319" s="13" t="n"/>
      <c r="I319" s="6" t="inlineStr">
        <is>
          <t>2026-10-15：⑦ 的成功切換在本機測不到（熱點到不了 Mac 上的伺服器），留到部署上 UAT 或雲端後用 iPhone 熱點測一次。</t>
        </is>
      </c>
    </row>
  </sheetData>
  <autoFilter ref="A1:I3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2026-10-15T02:29:59Z</dcterms:modified>
</cp:coreProperties>
</file>