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總覽" sheetId="1" state="visible" r:id="rId1"/>
    <sheet xmlns:r="http://schemas.openxmlformats.org/officeDocument/2006/relationships" name="任務清單" sheetId="2" state="visible" r:id="rId2"/>
    <sheet xmlns:r="http://schemas.openxmlformats.org/officeDocument/2006/relationships" name="待確認問題" sheetId="3" state="visible" r:id="rId3"/>
    <sheet xmlns:r="http://schemas.openxmlformats.org/officeDocument/2006/relationships" name="更新記錄" sheetId="4" state="visible" r:id="rId4"/>
  </sheets>
  <definedNames>
    <definedName name="_xlnm._FilterDatabase" localSheetId="1" hidden="1">'任務清單'!$A$1:$P$57</definedName>
    <definedName name="_xlnm._FilterDatabase" localSheetId="2" hidden="1">'待確認問題'!$A$1:$G$10</definedName>
    <definedName name="_xlnm._FilterDatabase" localSheetId="3" hidden="1">'更新記錄'!$A$1:$I$122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9"/>
      <sz val="16"/>
    </font>
    <font>
      <name val="Arial"/>
      <color rgb="007F7F7F"/>
      <sz val="9"/>
    </font>
    <font>
      <name val="Arial"/>
      <b val="1"/>
      <sz val="11"/>
    </font>
    <font>
      <name val="Arial"/>
      <b val="1"/>
      <sz val="10"/>
    </font>
    <font>
      <name val="Arial"/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center"/>
    </xf>
    <xf numFmtId="9" fontId="2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2" fillId="0" borderId="1" applyAlignment="1" pivotButton="0" quotePrefix="0" xfId="0">
      <alignment horizontal="center"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8">
    <dxf>
      <font>
        <name val="Arial"/>
        <b val="1"/>
        <color rgb="00006100"/>
      </font>
      <fill>
        <patternFill patternType="solid">
          <fgColor rgb="00C6EFCE"/>
          <bgColor rgb="00C6EFCE"/>
        </patternFill>
      </fill>
    </dxf>
    <dxf>
      <font>
        <name val="Arial"/>
        <b val="1"/>
        <color rgb="009C5700"/>
      </font>
      <fill>
        <patternFill patternType="solid">
          <fgColor rgb="00FFEB9C"/>
          <bgColor rgb="00FFEB9C"/>
        </patternFill>
      </fill>
    </dxf>
    <dxf>
      <font>
        <name val="Arial"/>
        <b val="1"/>
        <color rgb="009C0006"/>
      </font>
      <fill>
        <patternFill patternType="solid">
          <fgColor rgb="00FFC7CE"/>
          <bgColor rgb="00FFC7CE"/>
        </patternFill>
      </fill>
    </dxf>
    <dxf>
      <font>
        <name val="Arial"/>
        <b val="1"/>
        <color rgb="007F7F7F"/>
      </font>
      <fill>
        <patternFill patternType="solid">
          <fgColor rgb="00EDEDED"/>
          <bgColor rgb="00EDEDED"/>
        </patternFill>
      </fill>
    </dxf>
    <dxf>
      <font>
        <name val="Arial"/>
        <b val="1"/>
        <color rgb="00C00000"/>
      </font>
    </dxf>
    <dxf>
      <font>
        <name val="Arial"/>
        <b val="1"/>
        <color rgb="00C65911"/>
      </font>
    </dxf>
    <dxf>
      <font>
        <name val="Arial"/>
        <b val="1"/>
        <color rgb="002F5597"/>
      </font>
    </dxf>
    <dxf>
      <font>
        <name val="Arial"/>
        <b val="1"/>
        <color rgb="007030A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1"/>
  <sheetViews>
    <sheetView showGridLines="0" tabSelected="1" workbookViewId="0">
      <selection activeCell="A1" sqref="A1"/>
    </sheetView>
  </sheetViews>
  <sheetFormatPr baseColWidth="8" defaultRowHeight="15"/>
  <cols>
    <col width="12" customWidth="1" min="1" max="1"/>
    <col width="42" customWidth="1" min="2" max="2"/>
    <col width="9" customWidth="1" min="3" max="3"/>
    <col width="11" customWidth="1" min="4" max="4"/>
    <col width="9" customWidth="1" min="5" max="5"/>
    <col width="9" customWidth="1" min="6" max="6"/>
    <col width="9" customWidth="1" min="7" max="7"/>
    <col width="9" customWidth="1" min="8" max="8"/>
    <col width="12" customWidth="1" min="9" max="9"/>
  </cols>
  <sheetData>
    <row r="1" ht="26" customHeight="1">
      <c r="A1" s="1" t="inlineStr">
        <is>
          <t>aibuddy 生產就緒追蹤</t>
        </is>
      </c>
    </row>
    <row r="2">
      <c r="A2" s="2" t="inlineStr">
        <is>
          <t>最後更新：2026-10-08 09:45　·　本頁由 tracker.py 自動生成，請勿手動編輯</t>
        </is>
      </c>
    </row>
    <row r="3">
      <c r="A3" s="3" t="inlineStr">
        <is>
          <t>總進度：3/55 已完成（5%）　·　目前階段：1 止血定案（10/5–10/16）</t>
        </is>
      </c>
    </row>
    <row r="5">
      <c r="A5" s="4" t="inlineStr">
        <is>
          <t>優先級</t>
        </is>
      </c>
      <c r="B5" s="4" t="inlineStr">
        <is>
          <t>說明</t>
        </is>
      </c>
      <c r="C5" s="4" t="inlineStr">
        <is>
          <t>總數</t>
        </is>
      </c>
      <c r="D5" s="4" t="inlineStr">
        <is>
          <t>未開始</t>
        </is>
      </c>
      <c r="E5" s="4" t="inlineStr">
        <is>
          <t>進行中</t>
        </is>
      </c>
      <c r="F5" s="4" t="inlineStr">
        <is>
          <t>已完成</t>
        </is>
      </c>
      <c r="G5" s="4" t="inlineStr">
        <is>
          <t>阻塞</t>
        </is>
      </c>
      <c r="H5" s="4" t="inlineStr">
        <is>
          <t>不適用</t>
        </is>
      </c>
      <c r="I5" s="4" t="inlineStr">
        <is>
          <t>完成率</t>
        </is>
      </c>
    </row>
    <row r="6" ht="18" customHeight="1">
      <c r="A6" s="5" t="inlineStr">
        <is>
          <t>P0</t>
        </is>
      </c>
      <c r="B6" s="6" t="inlineStr">
        <is>
          <t>安全：真實用戶使用前必須完成</t>
        </is>
      </c>
      <c r="C6" s="7">
        <f>COUNTIF('任務清單'!$B:$B,$A6)</f>
        <v>17</v>
      </c>
      <c r="D6" s="7">
        <f>COUNTIFS('任務清單'!$B:$B,$A6,'任務清單'!$F:$F,D$5)</f>
        <v>3</v>
      </c>
      <c r="E6" s="7">
        <f>COUNTIFS('任務清單'!$B:$B,$A6,'任務清單'!$F:$F,E$5)</f>
        <v>13</v>
      </c>
      <c r="F6" s="7">
        <f>COUNTIFS('任務清單'!$B:$B,$A6,'任務清單'!$F:$F,F$5)</f>
        <v>0</v>
      </c>
      <c r="G6" s="7">
        <f>COUNTIFS('任務清單'!$B:$B,$A6,'任務清單'!$F:$F,G$5)</f>
        <v>0</v>
      </c>
      <c r="H6" s="7">
        <f>COUNTIFS('任務清單'!$B:$B,$A6,'任務清單'!$F:$F,H$5)</f>
        <v>1</v>
      </c>
      <c r="I6" s="8">
        <f>IFERROR(F6/(C6-H6),0)</f>
        <v>0.0</v>
      </c>
    </row>
    <row r="7" ht="18" customHeight="1">
      <c r="A7" s="5" t="inlineStr">
        <is>
          <t>P1</t>
        </is>
      </c>
      <c r="B7" s="6" t="inlineStr">
        <is>
          <t>兒童安全與合規：上市前必須完成</t>
        </is>
      </c>
      <c r="C7" s="7">
        <f>COUNTIF('任務清單'!$B:$B,$A7)</f>
        <v>11</v>
      </c>
      <c r="D7" s="7">
        <f>COUNTIFS('任務清單'!$B:$B,$A7,'任務清單'!$F:$F,D$5)</f>
        <v>11</v>
      </c>
      <c r="E7" s="7">
        <f>COUNTIFS('任務清單'!$B:$B,$A7,'任務清單'!$F:$F,E$5)</f>
        <v>0</v>
      </c>
      <c r="F7" s="7">
        <f>COUNTIFS('任務清單'!$B:$B,$A7,'任務清單'!$F:$F,F$5)</f>
        <v>0</v>
      </c>
      <c r="G7" s="7">
        <f>COUNTIFS('任務清單'!$B:$B,$A7,'任務清單'!$F:$F,G$5)</f>
        <v>0</v>
      </c>
      <c r="H7" s="7">
        <f>COUNTIFS('任務清單'!$B:$B,$A7,'任務清單'!$F:$F,H$5)</f>
        <v>0</v>
      </c>
      <c r="I7" s="8">
        <f>IFERROR(F7/(C7-H7),0)</f>
        <v>0.0</v>
      </c>
    </row>
    <row r="8" ht="18" customHeight="1">
      <c r="A8" s="5" t="inlineStr">
        <is>
          <t>P2</t>
        </is>
      </c>
      <c r="B8" s="6" t="inlineStr">
        <is>
          <t>工程與運維：規模化前完成</t>
        </is>
      </c>
      <c r="C8" s="7">
        <f>COUNTIF('任務清單'!$B:$B,$A8)</f>
        <v>11</v>
      </c>
      <c r="D8" s="7">
        <f>COUNTIFS('任務清單'!$B:$B,$A8,'任務清單'!$F:$F,D$5)</f>
        <v>8</v>
      </c>
      <c r="E8" s="7">
        <f>COUNTIFS('任務清單'!$B:$B,$A8,'任務清單'!$F:$F,E$5)</f>
        <v>1</v>
      </c>
      <c r="F8" s="7">
        <f>COUNTIFS('任務清單'!$B:$B,$A8,'任務清單'!$F:$F,F$5)</f>
        <v>2</v>
      </c>
      <c r="G8" s="7">
        <f>COUNTIFS('任務清單'!$B:$B,$A8,'任務清單'!$F:$F,G$5)</f>
        <v>0</v>
      </c>
      <c r="H8" s="7">
        <f>COUNTIFS('任務清單'!$B:$B,$A8,'任務清單'!$F:$F,H$5)</f>
        <v>0</v>
      </c>
      <c r="I8" s="8">
        <f>IFERROR(F8/(C8-H8),0)</f>
        <v>0.18181818181818182</v>
      </c>
    </row>
    <row r="9" ht="18" customHeight="1">
      <c r="A9" s="5" t="inlineStr">
        <is>
          <t>R</t>
        </is>
      </c>
      <c r="B9" s="6" t="inlineStr">
        <is>
          <t>產品與上市：3 個月內出 100–500 台</t>
        </is>
      </c>
      <c r="C9" s="7">
        <f>COUNTIF('任務清單'!$B:$B,$A9)</f>
        <v>17</v>
      </c>
      <c r="D9" s="7">
        <f>COUNTIFS('任務清單'!$B:$B,$A9,'任務清單'!$F:$F,D$5)</f>
        <v>12</v>
      </c>
      <c r="E9" s="7">
        <f>COUNTIFS('任務清單'!$B:$B,$A9,'任務清單'!$F:$F,E$5)</f>
        <v>2</v>
      </c>
      <c r="F9" s="7">
        <f>COUNTIFS('任務清單'!$B:$B,$A9,'任務清單'!$F:$F,F$5)</f>
        <v>1</v>
      </c>
      <c r="G9" s="7">
        <f>COUNTIFS('任務清單'!$B:$B,$A9,'任務清單'!$F:$F,G$5)</f>
        <v>2</v>
      </c>
      <c r="H9" s="7">
        <f>COUNTIFS('任務清單'!$B:$B,$A9,'任務清單'!$F:$F,H$5)</f>
        <v>0</v>
      </c>
      <c r="I9" s="8">
        <f>IFERROR(F9/(C9-H9),0)</f>
        <v>0.058823529411764705</v>
      </c>
    </row>
    <row r="10">
      <c r="A10" s="5" t="inlineStr">
        <is>
          <t>合計</t>
        </is>
      </c>
      <c r="B10" s="6" t="n"/>
      <c r="C10" s="5">
        <f>SUM(C6:C9)</f>
        <v>56</v>
      </c>
      <c r="D10" s="5">
        <f>SUM(D6:D9)</f>
        <v>34</v>
      </c>
      <c r="E10" s="5">
        <f>SUM(E6:E9)</f>
        <v>16</v>
      </c>
      <c r="F10" s="5">
        <f>SUM(F6:F9)</f>
        <v>3</v>
      </c>
      <c r="G10" s="5">
        <f>SUM(G6:G9)</f>
        <v>2</v>
      </c>
      <c r="H10" s="5">
        <f>SUM(H6:H9)</f>
        <v>1</v>
      </c>
      <c r="I10" s="9">
        <f>IFERROR(F10/(C10-H10),0)</f>
        <v>0.05454545454545454</v>
      </c>
    </row>
    <row r="12">
      <c r="A12" s="4" t="inlineStr">
        <is>
          <t>階段</t>
        </is>
      </c>
      <c r="B12" s="4" t="inlineStr">
        <is>
          <t>說明</t>
        </is>
      </c>
      <c r="C12" s="4" t="inlineStr">
        <is>
          <t>總數</t>
        </is>
      </c>
      <c r="D12" s="4" t="inlineStr">
        <is>
          <t>未開始</t>
        </is>
      </c>
      <c r="E12" s="4" t="inlineStr">
        <is>
          <t>進行中</t>
        </is>
      </c>
      <c r="F12" s="4" t="inlineStr">
        <is>
          <t>已完成</t>
        </is>
      </c>
      <c r="G12" s="4" t="inlineStr">
        <is>
          <t>阻塞</t>
        </is>
      </c>
      <c r="H12" s="4" t="inlineStr">
        <is>
          <t>不適用</t>
        </is>
      </c>
      <c r="I12" s="4" t="inlineStr">
        <is>
          <t>完成率</t>
        </is>
      </c>
    </row>
    <row r="13" ht="32" customHeight="1">
      <c r="A13" s="5" t="inlineStr">
        <is>
          <t>1 止血定案</t>
        </is>
      </c>
      <c r="B13" s="6" t="inlineStr">
        <is>
          <t>10/5–10/16：安全修復、選板（10/16 定案）、角色收窄</t>
        </is>
      </c>
      <c r="C13" s="7">
        <f>COUNTIF('任務清單'!$C:$C,$A13)</f>
        <v>23</v>
      </c>
      <c r="D13" s="7">
        <f>COUNTIFS('任務清單'!$C:$C,$A13,'任務清單'!$F:$F,D$12)</f>
        <v>2</v>
      </c>
      <c r="E13" s="7">
        <f>COUNTIFS('任務清單'!$C:$C,$A13,'任務清單'!$F:$F,E$12)</f>
        <v>15</v>
      </c>
      <c r="F13" s="7">
        <f>COUNTIFS('任務清單'!$C:$C,$A13,'任務清單'!$F:$F,F$12)</f>
        <v>3</v>
      </c>
      <c r="G13" s="7">
        <f>COUNTIFS('任務清單'!$C:$C,$A13,'任務清單'!$F:$F,G$12)</f>
        <v>2</v>
      </c>
      <c r="H13" s="7">
        <f>COUNTIFS('任務清單'!$C:$C,$A13,'任務清單'!$F:$F,H$12)</f>
        <v>1</v>
      </c>
      <c r="I13" s="8">
        <f>IFERROR(F13/(C13-H13),0)</f>
        <v>0.13636363636363635</v>
      </c>
    </row>
    <row r="14" ht="32" customHeight="1">
      <c r="A14" s="5" t="inlineStr">
        <is>
          <t>2 內測準備</t>
        </is>
      </c>
      <c r="B14" s="6" t="inlineStr">
        <is>
          <t>10/19–10/30：粵語評測、內容審核、OTA、外殼、上手流程；10/30 CP1 內測就緒檢查</t>
        </is>
      </c>
      <c r="C14" s="7">
        <f>COUNTIF('任務清單'!$C:$C,$A14)</f>
        <v>14</v>
      </c>
      <c r="D14" s="7">
        <f>COUNTIFS('任務清單'!$C:$C,$A14,'任務清單'!$F:$F,D$12)</f>
        <v>13</v>
      </c>
      <c r="E14" s="7">
        <f>COUNTIFS('任務清單'!$C:$C,$A14,'任務清單'!$F:$F,E$12)</f>
        <v>1</v>
      </c>
      <c r="F14" s="7">
        <f>COUNTIFS('任務清單'!$C:$C,$A14,'任務清單'!$F:$F,F$12)</f>
        <v>0</v>
      </c>
      <c r="G14" s="7">
        <f>COUNTIFS('任務清單'!$C:$C,$A14,'任務清單'!$F:$F,G$12)</f>
        <v>0</v>
      </c>
      <c r="H14" s="7">
        <f>COUNTIFS('任務清單'!$C:$C,$A14,'任務清單'!$F:$F,H$12)</f>
        <v>0</v>
      </c>
      <c r="I14" s="8">
        <f>IFERROR(F14/(C14-H14),0)</f>
        <v>0.0</v>
      </c>
    </row>
    <row r="15" ht="32" customHeight="1">
      <c r="A15" s="5" t="inlineStr">
        <is>
          <t>3 封閉內測</t>
        </is>
      </c>
      <c r="B15" s="6" t="inlineStr">
        <is>
          <t>11/2–11/27：20 個家庭內測，並行送測認證與合規；11/27 CP2 出貨決策（R-08）</t>
        </is>
      </c>
      <c r="C15" s="7">
        <f>COUNTIF('任務清單'!$C:$C,$A15)</f>
        <v>13</v>
      </c>
      <c r="D15" s="7">
        <f>COUNTIFS('任務清單'!$C:$C,$A15,'任務清單'!$F:$F,D$12)</f>
        <v>13</v>
      </c>
      <c r="E15" s="7">
        <f>COUNTIFS('任務清單'!$C:$C,$A15,'任務清單'!$F:$F,E$12)</f>
        <v>0</v>
      </c>
      <c r="F15" s="7">
        <f>COUNTIFS('任務清單'!$C:$C,$A15,'任務清單'!$F:$F,F$12)</f>
        <v>0</v>
      </c>
      <c r="G15" s="7">
        <f>COUNTIFS('任務清單'!$C:$C,$A15,'任務清單'!$F:$F,G$12)</f>
        <v>0</v>
      </c>
      <c r="H15" s="7">
        <f>COUNTIFS('任務清單'!$C:$C,$A15,'任務清單'!$F:$F,H$12)</f>
        <v>0</v>
      </c>
      <c r="I15" s="8">
        <f>IFERROR(F15/(C15-H15),0)</f>
        <v>0.0</v>
      </c>
    </row>
    <row r="16" ht="46" customHeight="1">
      <c r="A16" s="5" t="inlineStr">
        <is>
          <t>4 量產出貨</t>
        </is>
      </c>
      <c r="B16" s="6" t="inlineStr">
        <is>
          <t>11/30–12/26：量產外殼、出廠流程、壓測、售後；12/26 內部目標，緩衝至 1/15 生產死線、1/29 交付死線（農曆新年 2/6 前）</t>
        </is>
      </c>
      <c r="C16" s="7">
        <f>COUNTIF('任務清單'!$C:$C,$A16)</f>
        <v>6</v>
      </c>
      <c r="D16" s="7">
        <f>COUNTIFS('任務清單'!$C:$C,$A16,'任務清單'!$F:$F,D$12)</f>
        <v>6</v>
      </c>
      <c r="E16" s="7">
        <f>COUNTIFS('任務清單'!$C:$C,$A16,'任務清單'!$F:$F,E$12)</f>
        <v>0</v>
      </c>
      <c r="F16" s="7">
        <f>COUNTIFS('任務清單'!$C:$C,$A16,'任務清單'!$F:$F,F$12)</f>
        <v>0</v>
      </c>
      <c r="G16" s="7">
        <f>COUNTIFS('任務清單'!$C:$C,$A16,'任務清單'!$F:$F,G$12)</f>
        <v>0</v>
      </c>
      <c r="H16" s="7">
        <f>COUNTIFS('任務清單'!$C:$C,$A16,'任務清單'!$F:$F,H$12)</f>
        <v>0</v>
      </c>
      <c r="I16" s="8">
        <f>IFERROR(F16/(C16-H16),0)</f>
        <v>0.0</v>
      </c>
    </row>
    <row r="17">
      <c r="A17" s="5" t="inlineStr">
        <is>
          <t>合計</t>
        </is>
      </c>
      <c r="B17" s="6" t="n"/>
      <c r="C17" s="5">
        <f>SUM(C13:C16)</f>
        <v>56</v>
      </c>
      <c r="D17" s="5">
        <f>SUM(D13:D16)</f>
        <v>34</v>
      </c>
      <c r="E17" s="5">
        <f>SUM(E13:E16)</f>
        <v>16</v>
      </c>
      <c r="F17" s="5">
        <f>SUM(F13:F16)</f>
        <v>3</v>
      </c>
      <c r="G17" s="5">
        <f>SUM(G13:G16)</f>
        <v>2</v>
      </c>
      <c r="H17" s="5">
        <f>SUM(H13:H16)</f>
        <v>1</v>
      </c>
      <c r="I17" s="9">
        <f>IFERROR(F17/(C17-H17),0)</f>
        <v>0.05454545454545454</v>
      </c>
    </row>
    <row r="19">
      <c r="A19" s="10" t="inlineStr">
        <is>
          <t>⏭ 接下來做什麼</t>
        </is>
      </c>
    </row>
    <row r="20">
      <c r="A20" s="4" t="inlineStr">
        <is>
          <t>編號</t>
        </is>
      </c>
      <c r="B20" s="4" t="inlineStr">
        <is>
          <t>任務</t>
        </is>
      </c>
      <c r="C20" s="4" t="inlineStr">
        <is>
          <t>階段</t>
        </is>
      </c>
      <c r="D20" s="4" t="inlineStr">
        <is>
          <t>狀態</t>
        </is>
      </c>
      <c r="E20" s="4" t="inlineStr">
        <is>
          <t>驗收標準 / 上次測試</t>
        </is>
      </c>
      <c r="F20" s="11" t="n"/>
      <c r="G20" s="11" t="n"/>
      <c r="H20" s="11" t="n"/>
      <c r="I20" s="12" t="n"/>
    </row>
    <row r="21" ht="130" customHeight="1">
      <c r="A21" s="13" t="inlineStr">
        <is>
          <t>P0-02</t>
        </is>
      </c>
      <c r="B21" s="6" t="inlineStr">
        <is>
          <t>收緊 conversations 表的 RLS</t>
        </is>
      </c>
      <c r="C21" s="13" t="inlineStr">
        <is>
          <t>1 止血定案</t>
        </is>
      </c>
      <c r="D21" s="13" t="inlineStr">
        <is>
          <t>進行中</t>
        </is>
      </c>
      <c r="E21" s="6" t="inlineStr">
        <is>
          <t>上次測試：通過 — 本機：pg_policies 只剩擁有者 SELECT/DELETE，無 qual=true；publishable key GET/INSERT conversations → 42501；GoTrue 用戶 A 讀自己 2 行、讀 B 0 行，INSERT/UPDATE → 42501；store.insert_conversation_turn（service_role）寫入 user/assistant 兩行成功
刪除該 policy；authenticated 只能 SELECT／DELETE 自己 user_id 的行；寫入只經 service_role；anon 無任何存取。</t>
        </is>
      </c>
      <c r="F21" s="11" t="n"/>
      <c r="G21" s="11" t="n"/>
      <c r="H21" s="11" t="n"/>
      <c r="I21" s="12" t="n"/>
    </row>
    <row r="22" ht="116" customHeight="1">
      <c r="A22" s="13" t="inlineStr">
        <is>
          <t>P0-03</t>
        </is>
      </c>
      <c r="B22" s="6" t="inlineStr">
        <is>
          <t>收緊 users 表的 RLS</t>
        </is>
      </c>
      <c r="C22" s="13" t="inlineStr">
        <is>
          <t>1 止血定案</t>
        </is>
      </c>
      <c r="D22" s="13" t="inlineStr">
        <is>
          <t>進行中</t>
        </is>
      </c>
      <c r="E22" s="6" t="inlineStr">
        <is>
          <t>上次測試：通過 — 本機：anon GET/PATCH users → 42501；A 讀 B、改 B 均 0 行；A 改自己的 is_premium/email/device_id → 42501；網頁實測（publishable key）：首次登入建行成功，設定頁保存姓名/年齡/描述 → DB 已更新；用別人 email 建行 → RLS 拒絕
移除 anon UPDATE 與公開 SELECT；用戶只能讀、改自己那一行；service_role 不受影響。</t>
        </is>
      </c>
      <c r="F22" s="11" t="n"/>
      <c r="G22" s="11" t="n"/>
      <c r="H22" s="11" t="n"/>
      <c r="I22" s="12" t="n"/>
    </row>
    <row r="23" ht="102" customHeight="1">
      <c r="A23" s="13" t="inlineStr">
        <is>
          <t>P0-04</t>
        </is>
      </c>
      <c r="B23" s="6" t="inlineStr">
        <is>
          <t>收緊 devices 表的 RLS</t>
        </is>
      </c>
      <c r="C23" s="13" t="inlineStr">
        <is>
          <t>1 止血定案</t>
        </is>
      </c>
      <c r="D23" s="13" t="inlineStr">
        <is>
          <t>進行中</t>
        </is>
      </c>
      <c r="E23" s="6" t="inlineStr">
        <is>
          <t>上次測試：通過 — 本機：anon GET/PATCH devices → 42501；A 改 B 的 user_id、直接認領無主設備、INSERT → 42501；網頁實測：無主清單 Claim → devices.user_id 與 users.device_id 已寫入，音量 70→3，Unbind 清空，輸入配對碼綁定成功
只有擁有者可讀自己的設備；認領、解綁改走 server action + service_role；anon 無存取。</t>
        </is>
      </c>
      <c r="F23" s="11" t="n"/>
      <c r="G23" s="11" t="n"/>
      <c r="H23" s="11" t="n"/>
      <c r="I23" s="12" t="n"/>
    </row>
    <row r="24" ht="102" customHeight="1">
      <c r="A24" s="13" t="inlineStr">
        <is>
          <t>P0-05</t>
        </is>
      </c>
      <c r="B24" s="6" t="inlineStr">
        <is>
          <t>撤銷敏感表的多餘授權</t>
        </is>
      </c>
      <c r="C24" s="13" t="inlineStr">
        <is>
          <t>1 止血定案</t>
        </is>
      </c>
      <c r="D24" s="13" t="inlineStr">
        <is>
          <t>進行中</t>
        </is>
      </c>
      <c r="E24" s="6" t="inlineStr">
        <is>
          <t>上次測試：通過 — 本機 role_table_grants：anon 對三表 0 筆；authenticated＝users SELECT＋欄位級 INSERT/UPDATE、devices SELECT＋UPDATE(volume,is_reset,is_ota)、conversations SELECT/DELETE，三表都沒有 TRUNCATE
anon 對這三張表沒有任何權限；authenticated 只保留必要權限，沒有 TRUNCATE。</t>
        </is>
      </c>
      <c r="F24" s="11" t="n"/>
      <c r="G24" s="11" t="n"/>
      <c r="H24" s="11" t="n"/>
      <c r="I24" s="12" t="n"/>
    </row>
    <row r="25" ht="144" customHeight="1">
      <c r="A25" s="13" t="inlineStr">
        <is>
          <t>P0-06</t>
        </is>
      </c>
      <c r="B25" s="6" t="inlineStr">
        <is>
          <t>停止憑 MAC 發放永久用戶 JWT</t>
        </is>
      </c>
      <c r="C25" s="13" t="inlineStr">
        <is>
          <t>1 止血定案</t>
        </is>
      </c>
      <c r="D25" s="13" t="inlineStr">
        <is>
          <t>進行中</t>
        </is>
      </c>
      <c r="E25" s="6" t="inlineStr">
        <is>
          <t>上次測試：通過 — 本機 API：只帶 MAC 或錯誤密鑰 → 401、GET → 410；設備 token 讀 users/conversations/devices → PostgREST 401；過期 token 在 ws 與 reset 路由都被拒。實機（開發板 63:64，localall 韌體）：首次聯絡領到密鑰存 NVS、換到 24h token、連上 7861、對話「你聽唔聽到我講嘢？」與回覆寫入 conversations
設備首次連線時一次性下發設備密鑰；之後用密鑰換短期（≤24 小時）設備 token，權限只限設備本身，不再是家長 session。</t>
        </is>
      </c>
      <c r="F25" s="11" t="n"/>
      <c r="G25" s="11" t="n"/>
      <c r="H25" s="11" t="n"/>
      <c r="I25" s="12" t="n"/>
    </row>
    <row r="26" ht="116" customHeight="1">
      <c r="A26" s="13" t="inlineStr">
        <is>
          <t>P0-08</t>
        </is>
      </c>
      <c r="B26" s="6" t="inlineStr">
        <is>
          <t>語音伺服器驗證設備身份（/ws/esp32）</t>
        </is>
      </c>
      <c r="C26" s="13" t="inlineStr">
        <is>
          <t>1 止血定案</t>
        </is>
      </c>
      <c r="D26" s="13" t="inlineStr">
        <is>
          <t>進行中</t>
        </is>
      </c>
      <c r="E26" s="6" t="inlineStr">
        <is>
          <t>上次測試：通過 — pytest test_device_auth.py 30 項通過；本機：偽造 MAC、過期、Supabase secret 簽的 token → 4401；實機 token 被拒時韌體偵測到「auth 之前被關閉」，斷線期間續期（拒 22 次、換 3 次 token、0 panic），密鑰改回後自動恢復；伺服器日誌身份取自 token（device=9fe8d112…）
驗證設備 token 的簽名與有效期，設備身份取自 token 而不是 header；無效就以 4401 關閉連線。</t>
        </is>
      </c>
      <c r="F26" s="11" t="n"/>
      <c r="G26" s="11" t="n"/>
      <c r="H26" s="11" t="n"/>
      <c r="I26" s="12" t="n"/>
    </row>
    <row r="27" ht="186" customHeight="1">
      <c r="A27" s="13" t="inlineStr">
        <is>
          <t>P0-09</t>
        </is>
      </c>
      <c r="B27" s="6" t="inlineStr">
        <is>
          <t>瀏覽器語音路由改用簽名 token（/ws/nextjs）</t>
        </is>
      </c>
      <c r="C27" s="13" t="inlineStr">
        <is>
          <t>1 止血定案</t>
        </is>
      </c>
      <c r="D27" s="13" t="inlineStr">
        <is>
          <t>進行中</t>
        </is>
      </c>
      <c r="E27" s="6" t="inlineStr">
        <is>
          <t>上次測試：通過 — pytest test_device_auth.py 42 項（+12：web token、Node 簽的 web token、設備 token 不能開網頁、/ws/nextjs 只帶 user_id／設備 token／過期 → 4401、偽造 user_id 與 prompt 被忽略），全套 194 passed。本機實測：瀏覽器選嘟嘟龍按咪 → server action 簽 5 分鐘 token、URL 只有 token；用同一 token 加 admin 的 user_id 與偽造 prompt 連線 → 仍是測試帳號＋嘟嘟龍，對話兩行寫入測試帳號（ip house），admin 無寫入；記憶 session 開始與結束都對應測試帳號
Next.js 為已登入用戶簽發 ≤5 分鐘的 token，FastAPI 驗證後才取 user_id；角色與 prompt 由伺服器端按帳號讀取。</t>
        </is>
      </c>
      <c r="F27" s="11" t="n"/>
      <c r="G27" s="11" t="n"/>
      <c r="H27" s="11" t="n"/>
      <c r="I27" s="12" t="n"/>
    </row>
    <row r="28" ht="130" customHeight="1">
      <c r="A28" s="13" t="inlineStr">
        <is>
          <t>P0-10</t>
        </is>
      </c>
      <c r="B28" s="6" t="inlineStr">
        <is>
          <t>生產環境關閉 /browser 測試頁與 /ws/browser</t>
        </is>
      </c>
      <c r="C28" s="13" t="inlineStr">
        <is>
          <t>1 止血定案</t>
        </is>
      </c>
      <c r="D28" s="13" t="inlineStr">
        <is>
          <t>進行中</t>
        </is>
      </c>
      <c r="E28" s="6" t="inlineStr">
        <is>
          <t>上次測試：通過 — pytest test_browser_test_routes.py 9 項通過（旗標未設/空/false/0/no → /browser 404、/ 404、/ws/browser 拒絕、/healthz 200；true/1/yes/TRUE → 頁面與路由恢復）；全套 182 passed。本機以生產設定實跑 uvicorn：GET / 404、/browser 404、/healthz 200、ws /ws/browser → HTTP 403
預設關閉；只有顯式設定開關（例如 ENABLE_BROWSER_TEST=true）時才註冊這兩個路由。</t>
        </is>
      </c>
      <c r="F28" s="11" t="n"/>
      <c r="G28" s="11" t="n"/>
      <c r="H28" s="11" t="n"/>
      <c r="I28" s="12" t="n"/>
    </row>
    <row r="29" ht="298" customHeight="1">
      <c r="A29" s="13" t="inlineStr">
        <is>
          <t>P0-12</t>
        </is>
      </c>
      <c r="B29" s="6" t="inlineStr">
        <is>
          <t>收緊 Admin 權限與路由保護</t>
        </is>
      </c>
      <c r="C29" s="13" t="inlineStr">
        <is>
          <t>1 止血定案</t>
        </is>
      </c>
      <c r="D29" s="13" t="inlineStr">
        <is>
          <t>進行中</t>
        </is>
      </c>
      <c r="E29" s="6" t="inlineStr">
        <is>
          <t>上次測試：通過 — 本機 REST＋server action＋頁面 61/61（全部 aal1 密碼登入，無 TOTP）：①家長 has_role=false，寫角色/app_settings/授權 42501，GET /admin→/home，直接 POST 3 個 action 均不生效；②內容管理員可建/改/下架內建角色與 IP、action 改角色成功，改模型/授權/名單/turn_metrics/openrouter API 均拒；超管可改模型（action 與 REST）、授權/撤權即時生效、不能撤自己；已綁驗證器的管理員密碼登入可進 /admin，/admin/mfa 404；③超管與內容管理員讀他戶 conversations 410/memory_facts/segments/memories 皆 0 行；④未登入 /home、/admin→/login；tsc 通過
① 用 admin_roles 表（user_id、角色、授權人、時間）和資料庫函數 has_role() 取代 ADMIN_EMAILS；v1 只有兩種角色：超級管理員、內容管理員 ② 管理端在 /admin：middleware 擋未授權的路由，每個 server action 再檢查一次角色，資料庫 RLS 也用 has_role() 把關。不要求兩步驗證 ③ 任何管理員角色在資料庫層面都沒有讀取其他家庭 conversations、memory_facts、memory_segments 的權限 ④ 恢復 middleware 對 /home 的登入保護</t>
        </is>
      </c>
      <c r="F29" s="11" t="n"/>
      <c r="G29" s="11" t="n"/>
      <c r="H29" s="11" t="n"/>
      <c r="I29" s="12" t="n"/>
    </row>
    <row r="30" ht="172" customHeight="1">
      <c r="A30" s="13" t="inlineStr">
        <is>
          <t>P0-15</t>
        </is>
      </c>
      <c r="B30" s="6" t="inlineStr">
        <is>
          <t>角色表權限：只有內容管理員能發佈，關閉家長自建角色</t>
        </is>
      </c>
      <c r="C30" s="13" t="inlineStr">
        <is>
          <t>1 止血定案</t>
        </is>
      </c>
      <c r="D30" s="13" t="inlineStr">
        <is>
          <t>進行中</t>
        </is>
      </c>
      <c r="E30" s="6" t="inlineStr">
        <is>
          <t>上次測試：部分通過 — ② 本機 psql SET ROLE（交易後 ROLLBACK）：anon 見已發佈內建 6、隱藏 0、家長自建 0；家長 A 見自己的角色（含隱藏的自己的）、不見 B 的、不見 40 個隱藏內建；內容管理員 aal2 見 40 個隱藏內建、不見 B 的角色。①③ 先前已過。④ /home/create 仍是 redirect /home，這次沒在瀏覽器重測。
只有內容管理員或超級管理員（has_role）能新增、修改、下架角色；anon 與家長只能讀取已發佈（is_hidden=false）的內建角色，以及家長自己建立的角色；/home/create 入口撤下，不再接受新的家長自建角色；現有家長自建角色暫時保留可用，資料不動。</t>
        </is>
      </c>
      <c r="F30" s="11" t="n"/>
      <c r="G30" s="11" t="n"/>
      <c r="H30" s="11" t="n"/>
      <c r="I30" s="12" t="n"/>
    </row>
    <row r="31" ht="186" customHeight="1">
      <c r="A31" s="13" t="inlineStr">
        <is>
          <t>P0-16</t>
        </is>
      </c>
      <c r="B31" s="6" t="inlineStr">
        <is>
          <t>移除「醫生」身份與寫死的通關碼</t>
        </is>
      </c>
      <c r="C31" s="13" t="inlineStr">
        <is>
          <t>1 止血定案</t>
        </is>
      </c>
      <c r="D31" s="13" t="inlineStr">
        <is>
          <t>進行中</t>
        </is>
      </c>
      <c r="E31" s="6" t="inlineStr">
        <is>
          <t>上次測試：通過 — ① grep checkDoctorAction/kiwi-subtle-emu/=== "doctor" → 0（以 staged 內容的乾淨 worktree 驗證）② tsc 通過；eslint(next/core-web-vitals) 改動檔 0 error（4 個 warning 為原有 hook 依賴）③ 本機新帳號實測：首頁只剩 Story/Children、無醫療/Santa/patient 字樣；onboarding 保存→ users 已更新、PATCH 204；設定頁正常。migration 20261007160000 本機：4 個 is_doctor 內建角色 is_hidden=true，authenticated UPDATE 欄位不再含 user_info
移除 checkDoctorAction 和所有 doctor 身份的分支；程式碼裡沒有任何通關碼；is_doctor 角色隱藏（配合 R-02）。</t>
        </is>
      </c>
      <c r="F31" s="11" t="n"/>
      <c r="G31" s="11" t="n"/>
      <c r="H31" s="11" t="n"/>
      <c r="I31" s="12" t="n"/>
    </row>
    <row r="32" ht="172" customHeight="1">
      <c r="A32" s="13" t="inlineStr">
        <is>
          <t>P0-17</t>
        </is>
      </c>
      <c r="B32" s="6" t="inlineStr">
        <is>
          <t>前端的 anon key 必須是公開 key，不可是 secret／service_role</t>
        </is>
      </c>
      <c r="C32" s="13" t="inlineStr">
        <is>
          <t>1 止血定案</t>
        </is>
      </c>
      <c r="D32" s="13" t="inlineStr">
        <is>
          <t>進行中</t>
        </is>
      </c>
      <c r="E32" s="6" t="inlineStr">
        <is>
          <t>上次測試：部分通過 — ① 線上 /login 引用的 12 個 JS + HTML：無 sb_secret_，唯一的 key 是 role=anon 的 JWT ③ 本機 .env.local 原為 sb_secret_（已備份 .env.local.bak-p017），換成 kong 的 sb_publishable_ 後 anon GET /rest/v1/users → 42501。② 未做：線上 RLS 尚未套用，現在讀 users 會讀到全部家庭資料
本機與線上的 NEXT_PUBLIC_SUPABASE_ANON_KEY 都是 sb_publishable_ 開頭或 role=anon 的 JWT；瀏覽器 JS bundle 裡沒有 sb_secret_，也沒有 role=service_role 的 JWT；若線上曾外洩 secret key，已輪換。</t>
        </is>
      </c>
      <c r="F32" s="11" t="n"/>
      <c r="G32" s="11" t="n"/>
      <c r="H32" s="11" t="n"/>
      <c r="I32" s="12" t="n"/>
    </row>
    <row r="33" ht="228" customHeight="1">
      <c r="A33" s="13" t="inlineStr">
        <is>
          <t>P2-10</t>
        </is>
      </c>
      <c r="B33" s="6" t="inlineStr">
        <is>
          <t>DeepSeek v4 flash 經 OpenRouter 時固定可用的供應商</t>
        </is>
      </c>
      <c r="C33" s="13" t="inlineStr">
        <is>
          <t>1 止血定案</t>
        </is>
      </c>
      <c r="D33" s="13" t="inlineStr">
        <is>
          <t>進行中</t>
        </is>
      </c>
      <c r="E33" s="6" t="inlineStr">
        <is>
          <t>上次測試：部分通過 — 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
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F33" s="11" t="n"/>
      <c r="G33" s="11" t="n"/>
      <c r="H33" s="11" t="n"/>
      <c r="I33" s="12" t="n"/>
    </row>
    <row r="34" ht="60" customHeight="1">
      <c r="A34" s="13" t="inlineStr">
        <is>
          <t>R-01</t>
        </is>
      </c>
      <c r="B34" s="6" t="inlineStr">
        <is>
          <t>選定量產板子</t>
        </is>
      </c>
      <c r="C34" s="13" t="inlineStr">
        <is>
          <t>1 止血定案</t>
        </is>
      </c>
      <c r="D34" s="13" t="inlineStr">
        <is>
          <t>進行中</t>
        </is>
      </c>
      <c r="E34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F34" s="11" t="n"/>
      <c r="G34" s="11" t="n"/>
      <c r="H34" s="11" t="n"/>
      <c r="I34" s="12" t="n"/>
    </row>
    <row r="35" ht="172" customHeight="1">
      <c r="A35" s="13" t="inlineStr">
        <is>
          <t>R-02</t>
        </is>
      </c>
      <c r="B35" s="6" t="inlineStr">
        <is>
          <t>角色收窄到 5–8 個粵語陪伴角色</t>
        </is>
      </c>
      <c r="C35" s="13" t="inlineStr">
        <is>
          <t>1 止血定案</t>
        </is>
      </c>
      <c r="D35" s="13" t="inlineStr">
        <is>
          <t>進行中</t>
        </is>
      </c>
      <c r="E35" s="6" t="inlineStr">
        <is>
          <t>上次測試：通過 — 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
只保留 5–8 個自己設計的粵語陪伴角色，其餘設為 is_hidden；每個角色按 3–6 歲設計：句子短、用詞簡單、一次只問一個問題，不講恐怖、暴力或需要識字的內容。</t>
        </is>
      </c>
      <c r="F35" s="11" t="n"/>
      <c r="G35" s="11" t="n"/>
      <c r="H35" s="11" t="n"/>
      <c r="I35" s="12" t="n"/>
    </row>
    <row r="36" ht="186" customHeight="1">
      <c r="A36" s="13" t="inlineStr">
        <is>
          <t>P0-13</t>
        </is>
      </c>
      <c r="B36" s="6" t="inlineStr">
        <is>
          <t>讓 OTA 真正可用並能回滾</t>
        </is>
      </c>
      <c r="C36" s="13" t="inlineStr">
        <is>
          <t>2 內測準備</t>
        </is>
      </c>
      <c r="D36" s="13" t="inlineStr">
        <is>
          <t>進行中</t>
        </is>
      </c>
      <c r="E36" s="6" t="inlineStr">
        <is>
          <t>上次測試：通過 — 實機開發板 63:64（localall，本機後端）：① 1.1.0→1.2.1 OTA 下載 14s、sha256 過、重啟到 app1 試用、連上語音伺服器後穩定 120s 才 confirmed、開場白播完、devices 記 1.2.1 ② 推開機 3s 崩潰的 1.2.2：安裝→崩潰→bootloader 1s 內回到 1.2.1『rolled back from 1.2.2』→上報 ota_failed_version=1.2.2→再重啟不再下載。過程中測出並修好 2 個 bug：收到 auth 即確認太早（1.0.2 確認後崩潰循環，887b769 改為穩定 2 分鐘）；millis()|1 計時繞回導致誤回滾（3a874dd）。API 16/16，pio 全 env 通過
填入真實 URL 與 CA；新韌體啟動自檢通過才標記有效，否則自動回滾；設備上報韌體版本。</t>
        </is>
      </c>
      <c r="F36" s="11" t="n"/>
      <c r="G36" s="11" t="n"/>
      <c r="H36" s="11" t="n"/>
      <c r="I36" s="12" t="n"/>
    </row>
    <row r="37" ht="60" customHeight="1">
      <c r="A37" s="13" t="inlineStr">
        <is>
          <t>P1-01</t>
        </is>
      </c>
      <c r="B37" s="6" t="inlineStr">
        <is>
          <t>加入內容審核層（輸入與輸出）</t>
        </is>
      </c>
      <c r="C37" s="13" t="inlineStr">
        <is>
          <t>2 內測準備</t>
        </is>
      </c>
      <c r="D37" s="13" t="inlineStr">
        <is>
          <t>未開始</t>
        </is>
      </c>
      <c r="E37" s="6" t="inlineStr">
        <is>
          <t>STT 文字與 LLM 輸出都經審核，尺度按 3–6 歲；命中時換成安全回覆並記錄事件，事件只記類別、時間、角色，不記原文（管理員不能看兒童內容，見 Q7）；首字延遲增加 ≤150ms。</t>
        </is>
      </c>
      <c r="F37" s="11" t="n"/>
      <c r="G37" s="11" t="n"/>
      <c r="H37" s="11" t="n"/>
      <c r="I37" s="12" t="n"/>
    </row>
    <row r="38" ht="32" customHeight="1">
      <c r="A38" s="13" t="inlineStr">
        <is>
          <t>P1-02</t>
        </is>
      </c>
      <c r="B38" s="6" t="inlineStr">
        <is>
          <t>日誌移除兒童個人資料</t>
        </is>
      </c>
      <c r="C38" s="13" t="inlineStr">
        <is>
          <t>2 內測準備</t>
        </is>
      </c>
      <c r="D38" s="13" t="inlineStr">
        <is>
          <t>未開始</t>
        </is>
      </c>
      <c r="E38" s="6" t="inlineStr">
        <is>
          <t>生產日誌只記 ID、長度、類別，不記內容；內容只在 DEBUG 等級輸出，生產不開 DEBUG。</t>
        </is>
      </c>
      <c r="F38" s="11" t="n"/>
      <c r="G38" s="11" t="n"/>
      <c r="H38" s="11" t="n"/>
      <c r="I38" s="12" t="n"/>
    </row>
    <row r="39" ht="46" customHeight="1">
      <c r="A39" s="13" t="inlineStr">
        <is>
          <t>P1-09</t>
        </is>
      </c>
      <c r="B39" s="6" t="inlineStr">
        <is>
          <t>家長鎖：孩子模式進設定要輸入 PIN</t>
        </is>
      </c>
      <c r="C39" s="13" t="inlineStr">
        <is>
          <t>2 內測準備</t>
        </is>
      </c>
      <c r="D39" s="13" t="inlineStr">
        <is>
          <t>未開始</t>
        </is>
      </c>
      <c r="E39" s="6" t="inlineStr">
        <is>
          <t>從孩子模式進入設定、家長控制、記憶、設備頁面前，都要先輸入家長 PIN（第一次使用時設定）；連錯 5 次鎖定 5 分鐘；忘記 PIN 可用帳號密碼重設。</t>
        </is>
      </c>
      <c r="F39" s="11" t="n"/>
      <c r="G39" s="11" t="n"/>
      <c r="H39" s="11" t="n"/>
      <c r="I39" s="12" t="n"/>
    </row>
    <row r="40" ht="46" customHeight="1">
      <c r="A40" s="13" t="inlineStr">
        <is>
          <t>P1-11</t>
        </is>
      </c>
      <c r="B40" s="6" t="inlineStr">
        <is>
          <t>伺服器與資料庫直接存取的管控</t>
        </is>
      </c>
      <c r="C40" s="13" t="inlineStr">
        <is>
          <t>2 內測準備</t>
        </is>
      </c>
      <c r="D40" s="13" t="inlineStr">
        <is>
          <t>未開始</t>
        </is>
      </c>
      <c r="E40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F40" s="11" t="n"/>
      <c r="G40" s="11" t="n"/>
      <c r="H40" s="11" t="n"/>
      <c r="I40" s="12" t="n"/>
    </row>
    <row r="41" ht="46" customHeight="1">
      <c r="A41" s="13" t="inlineStr">
        <is>
          <t>P2-02</t>
        </is>
      </c>
      <c r="B41" s="6" t="inlineStr">
        <is>
          <t>CI 跑測試與靜態檢查</t>
        </is>
      </c>
      <c r="C41" s="13" t="inlineStr">
        <is>
          <t>2 內測準備</t>
        </is>
      </c>
      <c r="D41" s="13" t="inlineStr">
        <is>
          <t>未開始</t>
        </is>
      </c>
      <c r="E41" s="6" t="inlineStr">
        <is>
          <t>推送與 PR 時跑 pytest、ruff、pyright、next lint、tsc --noEmit、pio run；任何一項失敗就不發佈 image。</t>
        </is>
      </c>
      <c r="F41" s="11" t="n"/>
      <c r="G41" s="11" t="n"/>
      <c r="H41" s="11" t="n"/>
      <c r="I41" s="12" t="n"/>
    </row>
    <row r="42" ht="32" customHeight="1">
      <c r="A42" s="13" t="inlineStr">
        <is>
          <t>P2-04</t>
        </is>
      </c>
      <c r="B42" s="6" t="inlineStr">
        <is>
          <t>容器改用非 root 用戶</t>
        </is>
      </c>
      <c r="C42" s="13" t="inlineStr">
        <is>
          <t>2 內測準備</t>
        </is>
      </c>
      <c r="D42" s="13" t="inlineStr">
        <is>
          <t>未開始</t>
        </is>
      </c>
      <c r="E42" s="6" t="inlineStr">
        <is>
          <t>兩個 Dockerfile 都設定非 root 的 USER。</t>
        </is>
      </c>
      <c r="F42" s="11" t="n"/>
      <c r="G42" s="11" t="n"/>
      <c r="H42" s="11" t="n"/>
      <c r="I42" s="12" t="n"/>
    </row>
    <row r="44">
      <c r="A44" s="10" t="inlineStr">
        <is>
          <t>✅ 最近完成與測試效果</t>
        </is>
      </c>
    </row>
    <row r="45">
      <c r="A45" s="4" t="inlineStr">
        <is>
          <t>編號</t>
        </is>
      </c>
      <c r="B45" s="4" t="inlineStr">
        <is>
          <t>任務</t>
        </is>
      </c>
      <c r="C45" s="4" t="inlineStr">
        <is>
          <t>測試結果</t>
        </is>
      </c>
      <c r="D45" s="4" t="inlineStr">
        <is>
          <t>完成日期</t>
        </is>
      </c>
      <c r="E45" s="4" t="inlineStr">
        <is>
          <t>測試證據</t>
        </is>
      </c>
      <c r="F45" s="11" t="n"/>
      <c r="G45" s="11" t="n"/>
      <c r="H45" s="11" t="n"/>
      <c r="I45" s="12" t="n"/>
    </row>
    <row r="46" ht="88" customHeight="1">
      <c r="A46" s="13" t="inlineStr">
        <is>
          <t>R-03</t>
        </is>
      </c>
      <c r="B46" s="6" t="inlineStr">
        <is>
          <t>移除不用的 Deno／Cloudflare 後端與上游預設主機</t>
        </is>
      </c>
      <c r="C46" s="13" t="inlineStr">
        <is>
          <t>通過</t>
        </is>
      </c>
      <c r="D46" s="13" t="inlineStr">
        <is>
          <t>2026-10-07</t>
        </is>
      </c>
      <c r="E46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F46" s="11" t="n"/>
      <c r="G46" s="11" t="n"/>
      <c r="H46" s="11" t="n"/>
      <c r="I46" s="12" t="n"/>
    </row>
    <row r="47" ht="88" customHeight="1">
      <c r="A47" s="13" t="inlineStr">
        <is>
          <t>P2-01</t>
        </is>
      </c>
      <c r="B47" s="6" t="inlineStr">
        <is>
          <t>修好後端測試環境</t>
        </is>
      </c>
      <c r="C47" s="13" t="inlineStr">
        <is>
          <t>通過</t>
        </is>
      </c>
      <c r="D47" s="13" t="inlineStr">
        <is>
          <t>2026-10-07</t>
        </is>
      </c>
      <c r="E47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F47" s="11" t="n"/>
      <c r="G47" s="11" t="n"/>
      <c r="H47" s="11" t="n"/>
      <c r="I47" s="12" t="n"/>
    </row>
    <row r="48" ht="60" customHeight="1">
      <c r="A48" s="13" t="inlineStr">
        <is>
          <t>P2-03</t>
        </is>
      </c>
      <c r="B48" s="6" t="inlineStr">
        <is>
          <t>提交目前未提交的改動</t>
        </is>
      </c>
      <c r="C48" s="13" t="inlineStr">
        <is>
          <t>通過</t>
        </is>
      </c>
      <c r="D48" s="13" t="inlineStr">
        <is>
          <t>2026-10-06</t>
        </is>
      </c>
      <c r="E48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F48" s="11" t="n"/>
      <c r="G48" s="11" t="n"/>
      <c r="H48" s="11" t="n"/>
      <c r="I48" s="12" t="n"/>
    </row>
    <row r="50">
      <c r="A50" s="10" t="inlineStr">
        <is>
          <t>⏳ 等待依賴 / ⛔ 阻塞</t>
        </is>
      </c>
    </row>
    <row r="51">
      <c r="A51" s="4" t="inlineStr">
        <is>
          <t>編號</t>
        </is>
      </c>
      <c r="B51" s="4" t="inlineStr">
        <is>
          <t>任務</t>
        </is>
      </c>
      <c r="C51" s="4" t="inlineStr">
        <is>
          <t>在等什麼</t>
        </is>
      </c>
      <c r="D51" s="11" t="n"/>
      <c r="E51" s="11" t="n"/>
      <c r="F51" s="11" t="n"/>
      <c r="G51" s="11" t="n"/>
      <c r="H51" s="11" t="n"/>
      <c r="I51" s="12" t="n"/>
    </row>
    <row r="52" ht="60" customHeight="1">
      <c r="A52" s="13" t="inlineStr">
        <is>
          <t>R-16</t>
        </is>
      </c>
      <c r="B52" s="6" t="inlineStr">
        <is>
          <t>Spotpear 量產版加電池電壓檢測（GPIO0 分壓）</t>
        </is>
      </c>
      <c r="C52" s="6" t="inlineStr">
        <is>
          <t>阻塞：[2026-10-07] 仍按 10/06 決定暫緩：等用戶做充滿再放電測試（與 R-17 同一次），看 VDD 低電提醒在關機前多久觸發；太遲或不觸發才向 Spotpear 提改板。已把分壓改板的問題一併放進給 Spotpear 的草稿，方便同一封發出</t>
        </is>
      </c>
      <c r="D52" s="11" t="n"/>
      <c r="E52" s="11" t="n"/>
      <c r="F52" s="11" t="n"/>
      <c r="G52" s="11" t="n"/>
      <c r="H52" s="11" t="n"/>
      <c r="I52" s="12" t="n"/>
    </row>
    <row r="53" ht="88" customHeight="1">
      <c r="A53" s="13" t="inlineStr">
        <is>
          <t>R-17</t>
        </is>
      </c>
      <c r="B53" s="6" t="inlineStr">
        <is>
          <t>Spotpear 電池耗盡時插電能否正常開機（供電路徑）</t>
        </is>
      </c>
      <c r="C53" s="6" t="inlineStr">
        <is>
          <t>阻塞：[2026-10-07] 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</t>
        </is>
      </c>
      <c r="D53" s="11" t="n"/>
      <c r="E53" s="11" t="n"/>
      <c r="F53" s="11" t="n"/>
      <c r="G53" s="11" t="n"/>
      <c r="H53" s="11" t="n"/>
      <c r="I53" s="12" t="n"/>
    </row>
    <row r="54" ht="18" customHeight="1">
      <c r="A54" s="13" t="inlineStr">
        <is>
          <t>P0-07</t>
        </is>
      </c>
      <c r="B54" s="6" t="inlineStr">
        <is>
          <t>輪換 JWT secret，作廢已發出的 token</t>
        </is>
      </c>
      <c r="C54" s="6" t="inlineStr">
        <is>
          <t>等 P0-06</t>
        </is>
      </c>
      <c r="D54" s="11" t="n"/>
      <c r="E54" s="11" t="n"/>
      <c r="F54" s="11" t="n"/>
      <c r="G54" s="11" t="n"/>
      <c r="H54" s="11" t="n"/>
      <c r="I54" s="12" t="n"/>
    </row>
    <row r="55" ht="18" customHeight="1">
      <c r="A55" s="13" t="inlineStr">
        <is>
          <t>P0-11</t>
        </is>
      </c>
      <c r="B55" s="6" t="inlineStr">
        <is>
          <t>設備認領要求持有證明</t>
        </is>
      </c>
      <c r="C55" s="6" t="inlineStr">
        <is>
          <t>等 P0-06</t>
        </is>
      </c>
      <c r="D55" s="11" t="n"/>
      <c r="E55" s="11" t="n"/>
      <c r="F55" s="11" t="n"/>
      <c r="G55" s="11" t="n"/>
      <c r="H55" s="11" t="n"/>
      <c r="I55" s="12" t="n"/>
    </row>
    <row r="56" ht="18" customHeight="1">
      <c r="A56" s="13" t="inlineStr">
        <is>
          <t>P1-10</t>
        </is>
      </c>
      <c r="B56" s="6" t="inlineStr">
        <is>
          <t>管理操作審計記錄</t>
        </is>
      </c>
      <c r="C56" s="6" t="inlineStr">
        <is>
          <t>等 P0-12</t>
        </is>
      </c>
      <c r="D56" s="11" t="n"/>
      <c r="E56" s="11" t="n"/>
      <c r="F56" s="11" t="n"/>
      <c r="G56" s="11" t="n"/>
      <c r="H56" s="11" t="n"/>
      <c r="I56" s="12" t="n"/>
    </row>
    <row r="57" ht="18" customHeight="1">
      <c r="A57" s="13" t="inlineStr">
        <is>
          <t>R-05</t>
        </is>
      </c>
      <c r="B57" s="6" t="inlineStr">
        <is>
          <t>內測版外殼（3D 打印 20 台）</t>
        </is>
      </c>
      <c r="C57" s="6" t="inlineStr">
        <is>
          <t>等 R-01</t>
        </is>
      </c>
      <c r="D57" s="11" t="n"/>
      <c r="E57" s="11" t="n"/>
      <c r="F57" s="11" t="n"/>
      <c r="G57" s="11" t="n"/>
      <c r="H57" s="11" t="n"/>
      <c r="I57" s="12" t="n"/>
    </row>
    <row r="58" ht="18" customHeight="1">
      <c r="A58" s="13" t="inlineStr">
        <is>
          <t>R-06</t>
        </is>
      </c>
      <c r="B58" s="6" t="inlineStr">
        <is>
          <t>家長自助上手流程</t>
        </is>
      </c>
      <c r="C58" s="6" t="inlineStr">
        <is>
          <t>等 P0-11</t>
        </is>
      </c>
      <c r="D58" s="11" t="n"/>
      <c r="E58" s="11" t="n"/>
      <c r="F58" s="11" t="n"/>
      <c r="G58" s="11" t="n"/>
      <c r="H58" s="11" t="n"/>
      <c r="I58" s="12" t="n"/>
    </row>
    <row r="59" ht="46" customHeight="1">
      <c r="A59" s="13" t="inlineStr">
        <is>
          <t>R-13</t>
        </is>
      </c>
      <c r="B59" s="6" t="inlineStr">
        <is>
          <t>CP1 內測就緒檢查（10/30）</t>
        </is>
      </c>
      <c r="C59" s="6" t="inlineStr">
        <is>
          <t>等 P0-02、P0-03、P0-04、P0-05、P0-06、P0-07、P0-08、P0-09、P0-10、P0-11、P0-12、P0-13、P1-01、P1-02、P2-09、R-01、R-02、R-04、R-05、R-06、P0-15、P0-16、P1-09、P1-11</t>
        </is>
      </c>
      <c r="D59" s="11" t="n"/>
      <c r="E59" s="11" t="n"/>
      <c r="F59" s="11" t="n"/>
      <c r="G59" s="11" t="n"/>
      <c r="H59" s="11" t="n"/>
      <c r="I59" s="12" t="n"/>
    </row>
    <row r="60" ht="18" customHeight="1">
      <c r="A60" s="13" t="inlineStr">
        <is>
          <t>P0-14</t>
        </is>
      </c>
      <c r="B60" s="6" t="inlineStr">
        <is>
          <t>韌體簽章、Secure Boot 與 Flash 加密</t>
        </is>
      </c>
      <c r="C60" s="6" t="inlineStr">
        <is>
          <t>等 P0-13、R-01</t>
        </is>
      </c>
      <c r="D60" s="11" t="n"/>
      <c r="E60" s="11" t="n"/>
      <c r="F60" s="11" t="n"/>
      <c r="G60" s="11" t="n"/>
      <c r="H60" s="11" t="n"/>
      <c r="I60" s="12" t="n"/>
    </row>
    <row r="61" ht="18" customHeight="1">
      <c r="A61" s="13" t="inlineStr">
        <is>
          <t>P1-06</t>
        </is>
      </c>
      <c r="B61" s="6" t="inlineStr">
        <is>
          <t>處理 GPL-3.0 依賴（arduino-audio-tools）</t>
        </is>
      </c>
      <c r="C61" s="6" t="inlineStr">
        <is>
          <t>等 Q3</t>
        </is>
      </c>
      <c r="D61" s="11" t="n"/>
      <c r="E61" s="11" t="n"/>
      <c r="F61" s="11" t="n"/>
      <c r="G61" s="11" t="n"/>
      <c r="H61" s="11" t="n"/>
      <c r="I61" s="12" t="n"/>
    </row>
    <row r="62" ht="18" customHeight="1">
      <c r="A62" s="13" t="inlineStr">
        <is>
          <t>P1-07</t>
        </is>
      </c>
      <c r="B62" s="6" t="inlineStr">
        <is>
          <t>LGPL 合規與第三方授權聲明</t>
        </is>
      </c>
      <c r="C62" s="6" t="inlineStr">
        <is>
          <t>等 Q3</t>
        </is>
      </c>
      <c r="D62" s="11" t="n"/>
      <c r="E62" s="11" t="n"/>
      <c r="F62" s="11" t="n"/>
      <c r="G62" s="11" t="n"/>
      <c r="H62" s="11" t="n"/>
      <c r="I62" s="12" t="n"/>
    </row>
    <row r="63" ht="18" customHeight="1">
      <c r="A63" s="13" t="inlineStr">
        <is>
          <t>P1-08</t>
        </is>
      </c>
      <c r="B63" s="6" t="inlineStr">
        <is>
          <t>硬件認證</t>
        </is>
      </c>
      <c r="C63" s="6" t="inlineStr">
        <is>
          <t>等 R-01、R-05</t>
        </is>
      </c>
      <c r="D63" s="11" t="n"/>
      <c r="E63" s="11" t="n"/>
      <c r="F63" s="11" t="n"/>
      <c r="G63" s="11" t="n"/>
      <c r="H63" s="11" t="n"/>
      <c r="I63" s="12" t="n"/>
    </row>
    <row r="64" ht="18" customHeight="1">
      <c r="A64" s="13" t="inlineStr">
        <is>
          <t>R-07</t>
        </is>
      </c>
      <c r="B64" s="6" t="inlineStr">
        <is>
          <t>20 個家庭封閉內測</t>
        </is>
      </c>
      <c r="C64" s="6" t="inlineStr">
        <is>
          <t>等 R-13</t>
        </is>
      </c>
      <c r="D64" s="11" t="n"/>
      <c r="E64" s="11" t="n"/>
      <c r="F64" s="11" t="n"/>
      <c r="G64" s="11" t="n"/>
      <c r="H64" s="11" t="n"/>
      <c r="I64" s="12" t="n"/>
    </row>
    <row r="65" ht="18" customHeight="1">
      <c r="A65" s="13" t="inlineStr">
        <is>
          <t>R-08</t>
        </is>
      </c>
      <c r="B65" s="6" t="inlineStr">
        <is>
          <t>第 8 週關卡決策</t>
        </is>
      </c>
      <c r="C65" s="6" t="inlineStr">
        <is>
          <t>等 R-07、P2-09、P1-08</t>
        </is>
      </c>
      <c r="D65" s="11" t="n"/>
      <c r="E65" s="11" t="n"/>
      <c r="F65" s="11" t="n"/>
      <c r="G65" s="11" t="n"/>
      <c r="H65" s="11" t="n"/>
      <c r="I65" s="12" t="n"/>
    </row>
    <row r="66" ht="18" customHeight="1">
      <c r="A66" s="13" t="inlineStr">
        <is>
          <t>R-14</t>
        </is>
      </c>
      <c r="B66" s="6" t="inlineStr">
        <is>
          <t>離線兒歌與故事</t>
        </is>
      </c>
      <c r="C66" s="6" t="inlineStr">
        <is>
          <t>等 R-01</t>
        </is>
      </c>
      <c r="D66" s="11" t="n"/>
      <c r="E66" s="11" t="n"/>
      <c r="F66" s="11" t="n"/>
      <c r="G66" s="11" t="n"/>
      <c r="H66" s="11" t="n"/>
      <c r="I66" s="12" t="n"/>
    </row>
    <row r="67" ht="18" customHeight="1">
      <c r="A67" s="13" t="inlineStr">
        <is>
          <t>P2-05</t>
        </is>
      </c>
      <c r="B67" s="6" t="inlineStr">
        <is>
          <t>拒絕未知設備並限制用量</t>
        </is>
      </c>
      <c r="C67" s="6" t="inlineStr">
        <is>
          <t>等 P0-08</t>
        </is>
      </c>
      <c r="D67" s="11" t="n"/>
      <c r="E67" s="11" t="n"/>
      <c r="F67" s="11" t="n"/>
      <c r="G67" s="11" t="n"/>
      <c r="H67" s="11" t="n"/>
      <c r="I67" s="12" t="n"/>
    </row>
    <row r="68" ht="18" customHeight="1">
      <c r="A68" s="13" t="inlineStr">
        <is>
          <t>R-09</t>
        </is>
      </c>
      <c r="B68" s="6" t="inlineStr">
        <is>
          <t>量產外殼（真空複模）</t>
        </is>
      </c>
      <c r="C68" s="6" t="inlineStr">
        <is>
          <t>等 R-08、R-05</t>
        </is>
      </c>
      <c r="D68" s="11" t="n"/>
      <c r="E68" s="11" t="n"/>
      <c r="F68" s="11" t="n"/>
      <c r="G68" s="11" t="n"/>
      <c r="H68" s="11" t="n"/>
      <c r="I68" s="12" t="n"/>
    </row>
    <row r="69" ht="18" customHeight="1">
      <c r="A69" s="13" t="inlineStr">
        <is>
          <t>R-10</t>
        </is>
      </c>
      <c r="B69" s="6" t="inlineStr">
        <is>
          <t>出廠流程</t>
        </is>
      </c>
      <c r="C69" s="6" t="inlineStr">
        <is>
          <t>等 P0-06、P0-14、R-01</t>
        </is>
      </c>
      <c r="D69" s="11" t="n"/>
      <c r="E69" s="11" t="n"/>
      <c r="F69" s="11" t="n"/>
      <c r="G69" s="11" t="n"/>
      <c r="H69" s="11" t="n"/>
      <c r="I69" s="12" t="n"/>
    </row>
    <row r="70" ht="18" customHeight="1">
      <c r="A70" s="13" t="inlineStr">
        <is>
          <t>R-15</t>
        </is>
      </c>
      <c r="B70" s="6" t="inlineStr">
        <is>
          <t>農曆新年前交付（生產 1/15、送達 1/29）</t>
        </is>
      </c>
      <c r="C70" s="6" t="inlineStr">
        <is>
          <t>等 R-09、R-10</t>
        </is>
      </c>
      <c r="D70" s="11" t="n"/>
      <c r="E70" s="11" t="n"/>
      <c r="F70" s="11" t="n"/>
      <c r="G70" s="11" t="n"/>
      <c r="H70" s="11" t="n"/>
      <c r="I70" s="12" t="n"/>
    </row>
    <row r="72">
      <c r="A72" s="10" t="inlineStr">
        <is>
          <t>❓ 待確認問題</t>
        </is>
      </c>
    </row>
    <row r="73">
      <c r="A73" s="4" t="inlineStr">
        <is>
          <t>編號</t>
        </is>
      </c>
      <c r="B73" s="4" t="inlineStr">
        <is>
          <t>問題</t>
        </is>
      </c>
      <c r="C73" s="4" t="inlineStr">
        <is>
          <t>影響的任務 / 為什麼重要</t>
        </is>
      </c>
      <c r="D73" s="11" t="n"/>
      <c r="E73" s="11" t="n"/>
      <c r="F73" s="11" t="n"/>
      <c r="G73" s="11" t="n"/>
      <c r="H73" s="11" t="n"/>
      <c r="I73" s="12" t="n"/>
    </row>
    <row r="74" ht="18" customHeight="1">
      <c r="A74" s="13" t="inlineStr">
        <is>
          <t>Q3</t>
        </is>
      </c>
      <c r="B74" s="6" t="inlineStr">
        <is>
          <t>韌體打算閉源商業銷售嗎？</t>
        </is>
      </c>
      <c r="C74" s="6" t="inlineStr">
        <is>
          <t>P1-06, P1-07：決定 GPL／LGPL 依賴要開源還是替換。</t>
        </is>
      </c>
      <c r="D74" s="11" t="n"/>
      <c r="E74" s="11" t="n"/>
      <c r="F74" s="11" t="n"/>
      <c r="G74" s="11" t="n"/>
      <c r="H74" s="11" t="n"/>
      <c r="I74" s="12" t="n"/>
    </row>
    <row r="76">
      <c r="A76" s="10" t="inlineStr">
        <is>
          <t>說明</t>
        </is>
      </c>
    </row>
    <row r="77" ht="32" customHeight="1">
      <c r="A77" s="14" t="inlineStr">
        <is>
          <t>・狀態：未開始 → 進行中 → 已完成。只有測試真的跑過而且通過才算已完成；阻塞要在備註寫原因；不再需要的任務標不適用，不要刪。</t>
        </is>
      </c>
    </row>
    <row r="78" ht="18" customHeight="1">
      <c r="A78" s="14" t="inlineStr">
        <is>
          <t>・測試結果：未測試 / 通過 / 失敗 / 部分通過。測試證據寫跑了什麼、看到什麼，完整歷史在「更新記錄」。</t>
        </is>
      </c>
    </row>
    <row r="79" ht="18" customHeight="1">
      <c r="A79" s="14" t="inlineStr">
        <is>
          <t>・「接下來」按階段排序，同一階段內再按優先級；依賴還沒滿足的任務不會出現在「接下來」。</t>
        </is>
      </c>
    </row>
    <row r="80" ht="18" customHeight="1">
      <c r="A80" s="14" t="inlineStr">
        <is>
          <t>・可以手動改：「任務清單」的狀態、測試結果、測試證據、Commit、備註，以及「待確認問題」的回答。其餘欄位和本頁由腳本維護。</t>
        </is>
      </c>
    </row>
    <row r="81" ht="32" customHeight="1">
      <c r="A81" s="14" t="inlineStr">
        <is>
          <t>・建議用法：在 Claude Code 對 Claude 說「P0-02 做完了」或輸入 /prod-readiness。Claude 會先跑測試再更新，並寫進「更新記錄」。</t>
        </is>
      </c>
    </row>
  </sheetData>
  <mergeCells count="62">
    <mergeCell ref="E21:I21"/>
    <mergeCell ref="C61:I61"/>
    <mergeCell ref="C52:I52"/>
    <mergeCell ref="C70:I70"/>
    <mergeCell ref="E24:I24"/>
    <mergeCell ref="E42:I42"/>
    <mergeCell ref="A80:I80"/>
    <mergeCell ref="E33:I33"/>
    <mergeCell ref="A3:I3"/>
    <mergeCell ref="E23:I23"/>
    <mergeCell ref="E39:I39"/>
    <mergeCell ref="A50:I50"/>
    <mergeCell ref="C67:I67"/>
    <mergeCell ref="E48:I48"/>
    <mergeCell ref="C57:I57"/>
    <mergeCell ref="C53:I53"/>
    <mergeCell ref="C66:I66"/>
    <mergeCell ref="A2:I2"/>
    <mergeCell ref="E29:I29"/>
    <mergeCell ref="E35:I35"/>
    <mergeCell ref="E20:I20"/>
    <mergeCell ref="E38:I38"/>
    <mergeCell ref="C69:I69"/>
    <mergeCell ref="A76:I76"/>
    <mergeCell ref="E28:I28"/>
    <mergeCell ref="C62:I62"/>
    <mergeCell ref="C68:I68"/>
    <mergeCell ref="E31:I31"/>
    <mergeCell ref="E40:I40"/>
    <mergeCell ref="C58:I58"/>
    <mergeCell ref="A72:I72"/>
    <mergeCell ref="E30:I30"/>
    <mergeCell ref="A81:I81"/>
    <mergeCell ref="E34:I34"/>
    <mergeCell ref="A19:I19"/>
    <mergeCell ref="C74:I74"/>
    <mergeCell ref="C64:I64"/>
    <mergeCell ref="C51:I51"/>
    <mergeCell ref="E46:I46"/>
    <mergeCell ref="C73:I73"/>
    <mergeCell ref="A44:I44"/>
    <mergeCell ref="E27:I27"/>
    <mergeCell ref="E45:I45"/>
    <mergeCell ref="C54:I54"/>
    <mergeCell ref="A77:I77"/>
    <mergeCell ref="E36:I36"/>
    <mergeCell ref="C63:I63"/>
    <mergeCell ref="C65:I65"/>
    <mergeCell ref="E26:I26"/>
    <mergeCell ref="C55:I55"/>
    <mergeCell ref="C56:I56"/>
    <mergeCell ref="E32:I32"/>
    <mergeCell ref="E25:I25"/>
    <mergeCell ref="C59:I59"/>
    <mergeCell ref="A1:I1"/>
    <mergeCell ref="E41:I41"/>
    <mergeCell ref="A79:I79"/>
    <mergeCell ref="E37:I37"/>
    <mergeCell ref="C60:I60"/>
    <mergeCell ref="E22:I22"/>
    <mergeCell ref="E47:I47"/>
    <mergeCell ref="A78:I78"/>
  </mergeCells>
  <conditionalFormatting sqref="I6:I10">
    <cfRule type="dataBar" priority="1">
      <dataBar>
        <cfvo type="num" val="0"/>
        <cfvo type="num" val="1"/>
        <color rgb="0063BE7B"/>
      </dataBar>
    </cfRule>
  </conditionalFormatting>
  <conditionalFormatting sqref="I13:I17">
    <cfRule type="dataBar" priority="2">
      <dataBar>
        <cfvo type="num" val="0"/>
        <cfvo type="num" val="1"/>
        <color rgb="0063BE7B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7"/>
  <sheetViews>
    <sheetView tabSelected="0"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7" customWidth="1" min="2" max="2"/>
    <col width="12" customWidth="1" min="3" max="3"/>
    <col width="13" customWidth="1" min="4" max="4"/>
    <col width="30" customWidth="1" min="5" max="5"/>
    <col width="9" customWidth="1" min="6" max="6"/>
    <col width="10" customWidth="1" min="7" max="7"/>
    <col width="12" customWidth="1" min="8" max="8"/>
    <col width="46" customWidth="1" min="9" max="9"/>
    <col width="42" customWidth="1" min="10" max="10"/>
    <col width="46" customWidth="1" min="11" max="11"/>
    <col width="46" customWidth="1" min="12" max="12"/>
    <col width="12" customWidth="1" min="13" max="13"/>
    <col width="44" customWidth="1" min="14" max="14"/>
    <col width="10" customWidth="1" min="15" max="15"/>
    <col width="32" customWidth="1" min="16" max="16"/>
  </cols>
  <sheetData>
    <row r="1" ht="22" customHeight="1">
      <c r="A1" s="4" t="inlineStr">
        <is>
          <t>編號</t>
        </is>
      </c>
      <c r="B1" s="4" t="inlineStr">
        <is>
          <t>優先級</t>
        </is>
      </c>
      <c r="C1" s="4" t="inlineStr">
        <is>
          <t>階段</t>
        </is>
      </c>
      <c r="D1" s="4" t="inlineStr">
        <is>
          <t>類別</t>
        </is>
      </c>
      <c r="E1" s="4" t="inlineStr">
        <is>
          <t>任務</t>
        </is>
      </c>
      <c r="F1" s="4" t="inlineStr">
        <is>
          <t>狀態</t>
        </is>
      </c>
      <c r="G1" s="4" t="inlineStr">
        <is>
          <t>測試結果</t>
        </is>
      </c>
      <c r="H1" s="4" t="inlineStr">
        <is>
          <t>完成日期</t>
        </is>
      </c>
      <c r="I1" s="4" t="inlineStr">
        <is>
          <t>問題 / 風險</t>
        </is>
      </c>
      <c r="J1" s="4" t="inlineStr">
        <is>
          <t>相關位置</t>
        </is>
      </c>
      <c r="K1" s="4" t="inlineStr">
        <is>
          <t>驗收標準</t>
        </is>
      </c>
      <c r="L1" s="4" t="inlineStr">
        <is>
          <t>測試方法</t>
        </is>
      </c>
      <c r="M1" s="4" t="inlineStr">
        <is>
          <t>依賴</t>
        </is>
      </c>
      <c r="N1" s="4" t="inlineStr">
        <is>
          <t>測試證據</t>
        </is>
      </c>
      <c r="O1" s="4" t="inlineStr">
        <is>
          <t>Commit</t>
        </is>
      </c>
      <c r="P1" s="4" t="inlineStr">
        <is>
          <t>備註</t>
        </is>
      </c>
    </row>
    <row r="2" ht="74" customHeight="1">
      <c r="A2" s="13" t="inlineStr">
        <is>
          <t>P0-01</t>
        </is>
      </c>
      <c r="B2" s="13" t="inlineStr">
        <is>
          <t>P0</t>
        </is>
      </c>
      <c r="C2" s="13" t="inlineStr">
        <is>
          <t>1 止血定案</t>
        </is>
      </c>
      <c r="D2" s="6" t="inlineStr">
        <is>
          <t>安全-驗證</t>
        </is>
      </c>
      <c r="E2" s="6" t="inlineStr">
        <is>
          <t>確認線上環境的暴露面</t>
        </is>
      </c>
      <c r="F2" s="13" t="inlineStr">
        <is>
          <t>不適用</t>
        </is>
      </c>
      <c r="G2" s="13" t="inlineStr">
        <is>
          <t>未測試</t>
        </is>
      </c>
      <c r="H2" s="13" t="n"/>
      <c r="I2" s="6" t="inlineStr">
        <is>
          <t>本機 supabase_db_ElatoAI 已確認 RLS 全開、anon 擁有敏感表的全部權限；線上 elatoai.hkqft.com 尚未驗證，它決定 P0 要多急。</t>
        </is>
      </c>
      <c r="J2" s="6" t="inlineStr">
        <is>
          <t>https://elatoai.hkqft.com/supabase-api
frontend-nextjs/app/api/generate_auth_token/route.ts</t>
        </is>
      </c>
      <c r="K2" s="6" t="inlineStr">
        <is>
          <t>取得用戶批准後做只讀探測，逐項記錄 P0-02、P0-03、P0-04、P0-06 在線上是否成立。</t>
        </is>
      </c>
      <c r="L2" s="6" t="inlineStr">
        <is>
          <t>用 anon key 對 /supabase-api/rest/v1/{conversations,users,devices} 發 HEAD 請求並帶 Prefer: count=exact，只看 Content-Range 的總數，不讀任何內容。</t>
        </is>
      </c>
      <c r="M2" s="13" t="n"/>
      <c r="N2" s="6" t="n"/>
      <c r="O2" s="13" t="n"/>
      <c r="P2" s="6" t="inlineStr">
        <is>
          <t>探測線上必須先得到用戶在對話中明確批准。
[2026-09-30] Q2：目前沒有真實家庭使用，緊急度已確定；線上驗證改為每項修復部署後各自做。</t>
        </is>
      </c>
    </row>
    <row r="3" ht="228" customHeight="1">
      <c r="A3" s="13" t="inlineStr">
        <is>
          <t>P0-02</t>
        </is>
      </c>
      <c r="B3" s="13" t="inlineStr">
        <is>
          <t>P0</t>
        </is>
      </c>
      <c r="C3" s="13" t="inlineStr">
        <is>
          <t>1 止血定案</t>
        </is>
      </c>
      <c r="D3" s="6" t="inlineStr">
        <is>
          <t>安全-資料庫</t>
        </is>
      </c>
      <c r="E3" s="6" t="inlineStr">
        <is>
          <t>收緊 conversations 表的 RLS</t>
        </is>
      </c>
      <c r="F3" s="13" t="inlineStr">
        <is>
          <t>進行中</t>
        </is>
      </c>
      <c r="G3" s="13" t="inlineStr">
        <is>
          <t>通過</t>
        </is>
      </c>
      <c r="H3" s="13" t="n"/>
      <c r="I3" s="6" t="inlineStr">
        <is>
          <t>policy「PUBLIC conversations」對所有角色 ALL USING(true)：任何拿到前端 anon key 的人都能讀、改、刪所有孩子的對話記錄。</t>
        </is>
      </c>
      <c r="J3" s="6" t="inlineStr">
        <is>
          <t>supabase/migrations/20250417155518_remote_schema.sql:404
server/fastapi/memory/store.py:310</t>
        </is>
      </c>
      <c r="K3" s="6" t="inlineStr">
        <is>
          <t>刪除該 policy；authenticated 只能 SELECT／DELETE 自己 user_id 的行；寫入只經 service_role；anon 無任何存取。</t>
        </is>
      </c>
      <c r="L3" s="6" t="inlineStr">
        <is>
          <t>① 本機 psql 查 pg_policies，conversations 沒有 qual=true 的 policy
② 用 anon key 呼叫 REST 讀取，回傳 0 行
③ 用戶 A 的 JWT 讀不到用戶 B 的對話
④ 跑一次語音對話，新行照常寫入</t>
        </is>
      </c>
      <c r="M3" s="13" t="n"/>
      <c r="N3" s="6" t="inlineStr">
        <is>
          <t>本機：pg_policies 只剩擁有者 SELECT/DELETE，無 qual=true；publishable key GET/INSERT conversations → 42501；GoTrue 用戶 A 讀自己 2 行、讀 B 0 行，INSERT/UPDATE → 42501；store.insert_conversation_turn（service_role）寫入 user/assistant 兩行成功</t>
        </is>
      </c>
      <c r="O3" s="13" t="inlineStr">
        <is>
          <t>e3dfb35</t>
        </is>
      </c>
      <c r="P3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4" ht="228" customHeight="1">
      <c r="A4" s="13" t="inlineStr">
        <is>
          <t>P0-03</t>
        </is>
      </c>
      <c r="B4" s="13" t="inlineStr">
        <is>
          <t>P0</t>
        </is>
      </c>
      <c r="C4" s="13" t="inlineStr">
        <is>
          <t>1 止血定案</t>
        </is>
      </c>
      <c r="D4" s="6" t="inlineStr">
        <is>
          <t>安全-資料庫</t>
        </is>
      </c>
      <c r="E4" s="6" t="inlineStr">
        <is>
          <t>收緊 users 表的 RLS</t>
        </is>
      </c>
      <c r="F4" s="13" t="inlineStr">
        <is>
          <t>進行中</t>
        </is>
      </c>
      <c r="G4" s="13" t="inlineStr">
        <is>
          <t>通過</t>
        </is>
      </c>
      <c r="H4" s="13" t="n"/>
      <c r="I4" s="6" t="inlineStr">
        <is>
          <t>「Update user table」允許 anon UPDATE 任何用戶；「Enable read access for all users」讓任何人讀取全部用戶（email、孩子姓名、年齡、個性描述）。</t>
        </is>
      </c>
      <c r="J4" s="6" t="inlineStr">
        <is>
          <t>supabase/migrations/20250417155518_remote_schema.sql:392, :408</t>
        </is>
      </c>
      <c r="K4" s="6" t="inlineStr">
        <is>
          <t>移除 anon UPDATE 與公開 SELECT；用戶只能讀、改自己那一行；service_role 不受影響。</t>
        </is>
      </c>
      <c r="L4" s="6" t="inlineStr">
        <is>
          <t>① anon GET /rest/v1/users 回傳 0 行
② anon PATCH 失敗
③ 用戶 A 讀不到用戶 B
④ Web 設定頁保存孩子資料正常</t>
        </is>
      </c>
      <c r="M4" s="13" t="n"/>
      <c r="N4" s="6" t="inlineStr">
        <is>
          <t>本機：anon GET/PATCH users → 42501；A 讀 B、改 B 均 0 行；A 改自己的 is_premium/email/device_id → 42501；網頁實測（publishable key）：首次登入建行成功，設定頁保存姓名/年齡/描述 → DB 已更新；用別人 email 建行 → RLS 拒絕</t>
        </is>
      </c>
      <c r="O4" s="13" t="inlineStr">
        <is>
          <t>e3dfb35</t>
        </is>
      </c>
      <c r="P4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5" ht="228" customHeight="1">
      <c r="A5" s="13" t="inlineStr">
        <is>
          <t>P0-04</t>
        </is>
      </c>
      <c r="B5" s="13" t="inlineStr">
        <is>
          <t>P0</t>
        </is>
      </c>
      <c r="C5" s="13" t="inlineStr">
        <is>
          <t>1 止血定案</t>
        </is>
      </c>
      <c r="D5" s="6" t="inlineStr">
        <is>
          <t>安全-資料庫</t>
        </is>
      </c>
      <c r="E5" s="6" t="inlineStr">
        <is>
          <t>收緊 devices 表的 RLS</t>
        </is>
      </c>
      <c r="F5" s="13" t="inlineStr">
        <is>
          <t>進行中</t>
        </is>
      </c>
      <c r="G5" s="13" t="inlineStr">
        <is>
          <t>通過</t>
        </is>
      </c>
      <c r="H5" s="13" t="n"/>
      <c r="I5" s="6" t="inlineStr">
        <is>
          <t>任何人可 SELECT 全部設備（含 MAC），也可 UPDATE 任何設備：改掉 user_id 就能把別人的玩具綁到自己帳號。</t>
        </is>
      </c>
      <c r="J5" s="6" t="inlineStr">
        <is>
          <t>supabase/migrations/20250417155518_remote_schema.sql:381, :421</t>
        </is>
      </c>
      <c r="K5" s="6" t="inlineStr">
        <is>
          <t>只有擁有者可讀自己的設備；認領、解綁改走 server action + service_role；anon 無存取。</t>
        </is>
      </c>
      <c r="L5" s="6" t="inlineStr">
        <is>
          <t>① anon GET /rest/v1/devices 回傳 0 行
② anon PATCH user_id 失敗
③ Web 端認領、解綁、調音量流程正常</t>
        </is>
      </c>
      <c r="M5" s="13" t="n"/>
      <c r="N5" s="6" t="inlineStr">
        <is>
          <t>本機：anon GET/PATCH devices → 42501；A 改 B 的 user_id、直接認領無主設備、INSERT → 42501；網頁實測：無主清單 Claim → devices.user_id 與 users.device_id 已寫入，音量 70→3，Unbind 清空，輸入配對碼綁定成功</t>
        </is>
      </c>
      <c r="O5" s="13" t="inlineStr">
        <is>
          <t>e3dfb35</t>
        </is>
      </c>
      <c r="P5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6" ht="228" customHeight="1">
      <c r="A6" s="13" t="inlineStr">
        <is>
          <t>P0-05</t>
        </is>
      </c>
      <c r="B6" s="13" t="inlineStr">
        <is>
          <t>P0</t>
        </is>
      </c>
      <c r="C6" s="13" t="inlineStr">
        <is>
          <t>1 止血定案</t>
        </is>
      </c>
      <c r="D6" s="6" t="inlineStr">
        <is>
          <t>安全-資料庫</t>
        </is>
      </c>
      <c r="E6" s="6" t="inlineStr">
        <is>
          <t>撤銷敏感表的多餘授權</t>
        </is>
      </c>
      <c r="F6" s="13" t="inlineStr">
        <is>
          <t>進行中</t>
        </is>
      </c>
      <c r="G6" s="13" t="inlineStr">
        <is>
          <t>通過</t>
        </is>
      </c>
      <c r="H6" s="13" t="n"/>
      <c r="I6" s="6" t="inlineStr">
        <is>
          <t>anon 與 authenticated 對 users／devices／conversations 擁有 TRUNCATE、DELETE、UPDATE 等全部權限；RLS 只要寫錯一條就全面失守。</t>
        </is>
      </c>
      <c r="J6" s="6" t="inlineStr">
        <is>
          <t>information_schema.role_table_grants（本機已查證）</t>
        </is>
      </c>
      <c r="K6" s="6" t="inlineStr">
        <is>
          <t>anon 對這三張表沒有任何權限；authenticated 只保留必要權限，沒有 TRUNCATE。</t>
        </is>
      </c>
      <c r="L6" s="6" t="inlineStr">
        <is>
          <t>psql 查 information_schema.role_table_grants：anon 對三張表沒有記錄，authenticated 沒有 TRUNCATE。</t>
        </is>
      </c>
      <c r="M6" s="13" t="n"/>
      <c r="N6" s="6" t="inlineStr">
        <is>
          <t>本機 role_table_grants：anon 對三表 0 筆；authenticated＝users SELECT＋欄位級 INSERT/UPDATE、devices SELECT＋UPDATE(volume,is_reset,is_ota)、conversations SELECT/DELETE，三表都沒有 TRUNCATE</t>
        </is>
      </c>
      <c r="O6" s="13" t="inlineStr">
        <is>
          <t>e3dfb35</t>
        </is>
      </c>
      <c r="P6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7" ht="340" customHeight="1">
      <c r="A7" s="13" t="inlineStr">
        <is>
          <t>P0-06</t>
        </is>
      </c>
      <c r="B7" s="13" t="inlineStr">
        <is>
          <t>P0</t>
        </is>
      </c>
      <c r="C7" s="13" t="inlineStr">
        <is>
          <t>1 止血定案</t>
        </is>
      </c>
      <c r="D7" s="6" t="inlineStr">
        <is>
          <t>安全-認證</t>
        </is>
      </c>
      <c r="E7" s="6" t="inlineStr">
        <is>
          <t>停止憑 MAC 發放永久用戶 JWT</t>
        </is>
      </c>
      <c r="F7" s="13" t="inlineStr">
        <is>
          <t>進行中</t>
        </is>
      </c>
      <c r="G7" s="13" t="inlineStr">
        <is>
          <t>通過</t>
        </is>
      </c>
      <c r="H7" s="13" t="n"/>
      <c r="I7" s="6" t="inlineStr">
        <is>
          <t>/api/generate_auth_token 只憑 MAC 就發出 role=authenticated、sub=家長 user_id、沒有過期時間的 JWT；配合 P0-04 讀到的 MAC 清單，可以接管所有家長帳號。</t>
        </is>
      </c>
      <c r="J7" s="6" t="inlineStr">
        <is>
          <t>frontend-nextjs/app/api/generate_auth_token/route.ts:195</t>
        </is>
      </c>
      <c r="K7" s="6" t="inlineStr">
        <is>
          <t>設備首次連線時一次性下發設備密鑰；之後用密鑰換短期（≤24 小時）設備 token，權限只限設備本身，不再是家長 session。</t>
        </is>
      </c>
      <c r="L7" s="6" t="inlineStr">
        <is>
          <t>① 只知 MAC 的請求拿不到任何 token
② 過期 token 被拒
③ 設備 token 讀不到 users／conversations
④ 實機配對、對話端到端正常</t>
        </is>
      </c>
      <c r="M7" s="13" t="n"/>
      <c r="N7" s="6" t="inlineStr">
        <is>
          <t>本機 API：只帶 MAC 或錯誤密鑰 → 401、GET → 410；設備 token 讀 users/conversations/devices → PostgREST 401；過期 token 在 ws 與 reset 路由都被拒。實機（開發板 63:64，localall 韌體）：首次聯絡領到密鑰存 NVS、換到 24h token、連上 7861、對話「你聽唔聽到我講嘢？」與回覆寫入 conversations</t>
        </is>
      </c>
      <c r="O7" s="13" t="inlineStr">
        <is>
          <t>da98048</t>
        </is>
      </c>
      <c r="P7" s="6" t="inlineStr">
        <is>
          <t>[2026-10-07] 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8" ht="46" customHeight="1">
      <c r="A8" s="13" t="inlineStr">
        <is>
          <t>P0-07</t>
        </is>
      </c>
      <c r="B8" s="13" t="inlineStr">
        <is>
          <t>P0</t>
        </is>
      </c>
      <c r="C8" s="13" t="inlineStr">
        <is>
          <t>1 止血定案</t>
        </is>
      </c>
      <c r="D8" s="6" t="inlineStr">
        <is>
          <t>安全-認證</t>
        </is>
      </c>
      <c r="E8" s="6" t="inlineStr">
        <is>
          <t>輪換 JWT secret，作廢已發出的 token</t>
        </is>
      </c>
      <c r="F8" s="13" t="inlineStr">
        <is>
          <t>未開始</t>
        </is>
      </c>
      <c r="G8" s="13" t="inlineStr">
        <is>
          <t>未測試</t>
        </is>
      </c>
      <c r="H8" s="13" t="n"/>
      <c r="I8" s="6" t="inlineStr">
        <is>
          <t>已發出的 token 永不過期，只能換 secret 作廢；自架 Supabase 的 anon／service_role key 也由同一個 secret 簽發，會一起失效。</t>
        </is>
      </c>
      <c r="J8" s="6" t="inlineStr">
        <is>
          <t>伺服器上自架 Supabase 的 .env
前端與 FastAPI 的 env</t>
        </is>
      </c>
      <c r="K8" s="6" t="inlineStr">
        <is>
          <t>新 secret 生效；重發 anon／service_role key 並更新到前端與 FastAPI；所有設備重新配對。</t>
        </is>
      </c>
      <c r="L8" s="6" t="inlineStr">
        <is>
          <t>① 用舊 token 呼叫 REST 回 401
② 新流程端到端對話正常
③ Web 登入正常</t>
        </is>
      </c>
      <c r="M8" s="13" t="inlineStr">
        <is>
          <t>P0-06</t>
        </is>
      </c>
      <c r="N8" s="6" t="n"/>
      <c r="O8" s="13" t="n"/>
      <c r="P8" s="6" t="n"/>
    </row>
    <row r="9" ht="270" customHeight="1">
      <c r="A9" s="13" t="inlineStr">
        <is>
          <t>P0-08</t>
        </is>
      </c>
      <c r="B9" s="13" t="inlineStr">
        <is>
          <t>P0</t>
        </is>
      </c>
      <c r="C9" s="13" t="inlineStr">
        <is>
          <t>1 止血定案</t>
        </is>
      </c>
      <c r="D9" s="6" t="inlineStr">
        <is>
          <t>安全-語音伺服器</t>
        </is>
      </c>
      <c r="E9" s="6" t="inlineStr">
        <is>
          <t>語音伺服器驗證設備身份（/ws/esp32）</t>
        </is>
      </c>
      <c r="F9" s="13" t="inlineStr">
        <is>
          <t>進行中</t>
        </is>
      </c>
      <c r="G9" s="13" t="inlineStr">
        <is>
          <t>通過</t>
        </is>
      </c>
      <c r="H9" s="13" t="n"/>
      <c r="I9" s="6" t="inlineStr">
        <is>
          <t>只看 X-Device-Mac header，Bearer token 只記進 log、從不驗證；任何人冒充一台玩具就能問出孩子的記憶，並消耗 API 額度。</t>
        </is>
      </c>
      <c r="J9" s="6" t="inlineStr">
        <is>
          <t>server/fastapi/server.py:375</t>
        </is>
      </c>
      <c r="K9" s="6" t="inlineStr">
        <is>
          <t>驗證設備 token 的簽名與有效期，設備身份取自 token 而不是 header；無效就以 4401 關閉連線。</t>
        </is>
      </c>
      <c r="L9" s="6" t="inlineStr">
        <is>
          <t>① 偽造 X-Device-Mac、不帶 token 被拒
② 過期 token 被拒
③ 真實設備正常對話
④ 新增 pytest 覆蓋以上情況</t>
        </is>
      </c>
      <c r="M9" s="13" t="inlineStr">
        <is>
          <t>P0-06</t>
        </is>
      </c>
      <c r="N9" s="6" t="inlineStr">
        <is>
          <t>pytest test_device_auth.py 30 項通過；本機：偽造 MAC、過期、Supabase secret 簽的 token → 4401；實機 token 被拒時韌體偵測到「auth 之前被關閉」，斷線期間續期（拒 22 次、換 3 次 token、0 panic），密鑰改回後自動恢復；伺服器日誌身份取自 token（device=9fe8d112…）</t>
        </is>
      </c>
      <c r="O9" s="13" t="inlineStr">
        <is>
          <t>da98048</t>
        </is>
      </c>
      <c r="P9" s="6" t="inlineStr">
        <is>
          <t>[2026-10-07] 2026-10-07：device_auth.py 用標準庫 hmac 驗 HS256（venv 無 PyJWT），每次呼叫才讀 DEVICE_JWT_SECRET（bot.py 的 load_dotenv 在 import 之後）。未設 secret 時所有設備被拒。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10" ht="158" customHeight="1">
      <c r="A10" s="13" t="inlineStr">
        <is>
          <t>P0-09</t>
        </is>
      </c>
      <c r="B10" s="13" t="inlineStr">
        <is>
          <t>P0</t>
        </is>
      </c>
      <c r="C10" s="13" t="inlineStr">
        <is>
          <t>1 止血定案</t>
        </is>
      </c>
      <c r="D10" s="6" t="inlineStr">
        <is>
          <t>安全-語音伺服器</t>
        </is>
      </c>
      <c r="E10" s="6" t="inlineStr">
        <is>
          <t>瀏覽器語音路由改用簽名 token（/ws/nextjs）</t>
        </is>
      </c>
      <c r="F10" s="13" t="inlineStr">
        <is>
          <t>進行中</t>
        </is>
      </c>
      <c r="G10" s="13" t="inlineStr">
        <is>
          <t>通過</t>
        </is>
      </c>
      <c r="H10" s="13" t="n"/>
      <c r="I10" s="6" t="inlineStr">
        <is>
          <t>user_id 和角色 prompt 都取自 query string：知道某個 user_id 就能讀到那個孩子的記憶，也能注入任意角色 prompt。</t>
        </is>
      </c>
      <c r="J10" s="6" t="inlineStr">
        <is>
          <t>server/fastapi/server.py:316</t>
        </is>
      </c>
      <c r="K10" s="6" t="inlineStr">
        <is>
          <t>Next.js 為已登入用戶簽發 ≤5 分鐘的 token，FastAPI 驗證後才取 user_id；角色與 prompt 由伺服器端按帳號讀取。</t>
        </is>
      </c>
      <c r="L10" s="6" t="inlineStr">
        <is>
          <t>① 改 query 裡的 user_id 無效
② 不帶 token 被拒
③ Web 對話與記憶正常</t>
        </is>
      </c>
      <c r="M10" s="13" t="n"/>
      <c r="N10" s="6" t="inlineStr">
        <is>
          <t>pytest test_device_auth.py 42 項（+12：web token、Node 簽的 web token、設備 token 不能開網頁、/ws/nextjs 只帶 user_id／設備 token／過期 → 4401、偽造 user_id 與 prompt 被忽略），全套 194 passed。本機實測：瀏覽器選嘟嘟龍按咪 → server action 簽 5 分鐘 token、URL 只有 token；用同一 token 加 admin 的 user_id 與偽造 prompt 連線 → 仍是測試帳號＋嘟嘟龍，對話兩行寫入測試帳號（ip house），admin 無寫入；記憶 session 開始與結束都對應測試帳號</t>
        </is>
      </c>
      <c r="O10" s="13" t="inlineStr">
        <is>
          <t>af99fdf</t>
        </is>
      </c>
      <c r="P10" s="6" t="inlineStr">
        <is>
          <t>[2026-10-07] 2026-10-07：沿用 DEVICE_JWT_SECRET，以 aud/typ 區分。網頁與語音伺服器須同時上新版。保持進行中：隨下一批部署後線上複測。</t>
        </is>
      </c>
    </row>
    <row r="11" ht="102" customHeight="1">
      <c r="A11" s="13" t="inlineStr">
        <is>
          <t>P0-10</t>
        </is>
      </c>
      <c r="B11" s="13" t="inlineStr">
        <is>
          <t>P0</t>
        </is>
      </c>
      <c r="C11" s="13" t="inlineStr">
        <is>
          <t>1 止血定案</t>
        </is>
      </c>
      <c r="D11" s="6" t="inlineStr">
        <is>
          <t>安全-語音伺服器</t>
        </is>
      </c>
      <c r="E11" s="6" t="inlineStr">
        <is>
          <t>生產環境關閉 /browser 測試頁與 /ws/browser</t>
        </is>
      </c>
      <c r="F11" s="13" t="inlineStr">
        <is>
          <t>進行中</t>
        </is>
      </c>
      <c r="G11" s="13" t="inlineStr">
        <is>
          <t>通過</t>
        </is>
      </c>
      <c r="H11" s="13" t="n"/>
      <c r="I11" s="6" t="inlineStr">
        <is>
          <t>完全開放：任何人都能免費使用你付費的 STT／LLM／TTS。</t>
        </is>
      </c>
      <c r="J11" s="6" t="inlineStr">
        <is>
          <t>server/fastapi/server.py:264, :286</t>
        </is>
      </c>
      <c r="K11" s="6" t="inlineStr">
        <is>
          <t>預設關閉；只有顯式設定開關（例如 ENABLE_BROWSER_TEST=true）時才註冊這兩個路由。</t>
        </is>
      </c>
      <c r="L11" s="6" t="inlineStr">
        <is>
          <t>生產配置下 GET /browser 回 404，連線 /ws/browser 被拒。</t>
        </is>
      </c>
      <c r="M11" s="13" t="n"/>
      <c r="N11" s="6" t="inlineStr">
        <is>
          <t>pytest test_browser_test_routes.py 9 項通過（旗標未設/空/false/0/no → /browser 404、/ 404、/ws/browser 拒絕、/healthz 200；true/1/yes/TRUE → 頁面與路由恢復）；全套 182 passed。本機以生產設定實跑 uvicorn：GET / 404、/browser 404、/healthz 200、ws /ws/browser → HTTP 403</t>
        </is>
      </c>
      <c r="O11" s="13" t="inlineStr">
        <is>
          <t>d0cfbb8</t>
        </is>
      </c>
      <c r="P11" s="6" t="inlineStr">
        <is>
          <t>[2026-10-07] 2026-10-07：本機 server/fastapi/.env 加 ENABLE_BROWSER_TEST=true 方便開發；線上不設。保持進行中：要隨下一批部署後在線上複測（GET https://elatoai.hkqft.com/fastapi/browser → 404）。</t>
        </is>
      </c>
    </row>
    <row r="12" ht="172" customHeight="1">
      <c r="A12" s="13" t="inlineStr">
        <is>
          <t>P0-11</t>
        </is>
      </c>
      <c r="B12" s="13" t="inlineStr">
        <is>
          <t>P0</t>
        </is>
      </c>
      <c r="C12" s="13" t="inlineStr">
        <is>
          <t>1 止血定案</t>
        </is>
      </c>
      <c r="D12" s="6" t="inlineStr">
        <is>
          <t>安全-認證</t>
        </is>
      </c>
      <c r="E12" s="6" t="inlineStr">
        <is>
          <t>設備認領要求持有證明</t>
        </is>
      </c>
      <c r="F12" s="13" t="inlineStr">
        <is>
          <t>未開始</t>
        </is>
      </c>
      <c r="G12" s="13" t="inlineStr">
        <is>
          <t>未測試</t>
        </is>
      </c>
      <c r="H12" s="13" t="n"/>
      <c r="I12" s="6" t="inlineStr">
        <is>
          <t>任何登入用戶都能看到全球 10 分鐘內上線的未認領設備並直接認領；202 回應把配對碼交給任何知道 MAC 的人。</t>
        </is>
      </c>
      <c r="J12" s="6" t="inlineStr">
        <is>
          <t>frontend-nextjs/db/devices.ts:62
frontend-nextjs/app/api/generate_auth_token/route.ts:172</t>
        </is>
      </c>
      <c r="K12" s="6" t="inlineStr">
        <is>
          <t>配對碼只回傳給持有設備密鑰的請求，由設備顯示或讀出；不再列出全球未認領設備；認領必須輸入配對碼，輸錯次數有上限。</t>
        </is>
      </c>
      <c r="L12" s="6" t="inlineStr">
        <is>
          <t>① 只知 MAC 拿不到配對碼
② 連續輸錯後鎖定
③ 正常認領流程通過</t>
        </is>
      </c>
      <c r="M12" s="13" t="inlineStr">
        <is>
          <t>P0-06</t>
        </is>
      </c>
      <c r="N12" s="6" t="n"/>
      <c r="O12" s="13" t="n"/>
      <c r="P12" s="6" t="inlineStr">
        <is>
          <t>[2026-10-07] 2026-10-07：addUserToDevice（輸入配對碼）沒有限制 user_id IS NULL，知道配對碼就能把已有主人的設備轉到自己帳號；P0-04 只把它搬到 service_role，行為未改，留給本項處理。
[2026-10-07] 2026-10-07：P0-06 之後配對碼只回給持有設備密鑰的請求（只知 MAC → 401），驗收第一條在本機已成立；仍缺：不再列出全球未認領設備、輸錯上限、addUserToDevice 搶已綁定設備。</t>
        </is>
      </c>
    </row>
    <row r="13" ht="326" customHeight="1">
      <c r="A13" s="13" t="inlineStr">
        <is>
          <t>P0-12</t>
        </is>
      </c>
      <c r="B13" s="13" t="inlineStr">
        <is>
          <t>P0</t>
        </is>
      </c>
      <c r="C13" s="13" t="inlineStr">
        <is>
          <t>1 止血定案</t>
        </is>
      </c>
      <c r="D13" s="6" t="inlineStr">
        <is>
          <t>安全-Web</t>
        </is>
      </c>
      <c r="E13" s="6" t="inlineStr">
        <is>
          <t>收緊 Admin 權限與路由保護</t>
        </is>
      </c>
      <c r="F13" s="13" t="inlineStr">
        <is>
          <t>進行中</t>
        </is>
      </c>
      <c r="G13" s="13" t="inlineStr">
        <is>
          <t>通過</t>
        </is>
      </c>
      <c r="H13" s="13" t="n"/>
      <c r="I13" s="6" t="inlineStr">
        <is>
          <t>沒設 ADMIN_EMAILS 時所有登入用戶都是管理員，可以改全站模型、讀寫別人孩子的角色 prompt；middleware 的登入保護被註解掉。</t>
        </is>
      </c>
      <c r="J13" s="6" t="inlineStr">
        <is>
          <t>frontend-nextjs/lib/admin.ts:45
frontend-nextjs/utils/supabase/middleware.ts:42</t>
        </is>
      </c>
      <c r="K13" s="6" t="inlineStr">
        <is>
          <t>① 用 admin_roles 表（user_id、角色、授權人、時間）和資料庫函數 has_role() 取代 ADMIN_EMAILS；v1 只有兩種角色：超級管理員、內容管理員 ② 管理端在 /admin：middleware 擋未授權的路由，每個 server action 再檢查一次角色，資料庫 RLS 也用 has_role() 把關。不要求兩步驗證 ③ 任何管理員角色在資料庫層面都沒有讀取其他家庭 conversations、memory_facts、memory_segments 的權限 ④ 恢復 middleware 對 /home 的登入保護</t>
        </is>
      </c>
      <c r="L13" s="6" t="inlineStr">
        <is>
          <t>① 普通家長帳號訪問 /admin 被拒；直接呼叫 admin server action 被拒 ② 內容管理員能改角色，不能改模型設定和管理員名單 ③ 用超級管理員的 JWT 查 conversations、memory_facts、memory_segments，讀不到其他家庭的資料 ④ 未登入訪問 /home 跳到 /login</t>
        </is>
      </c>
      <c r="M13" s="13" t="n"/>
      <c r="N13" s="6" t="inlineStr">
        <is>
          <t>本機 REST＋server action＋頁面 61/61（全部 aal1 密碼登入，無 TOTP）：①家長 has_role=false，寫角色/app_settings/授權 42501，GET /admin→/home，直接 POST 3 個 action 均不生效；②內容管理員可建/改/下架內建角色與 IP、action 改角色成功，改模型/授權/名單/turn_metrics/openrouter API 均拒；超管可改模型（action 與 REST）、授權/撤權即時生效、不能撤自己；已綁驗證器的管理員密碼登入可進 /admin，/admin/mfa 404；③超管與內容管理員讀他戶 conversations 410/memory_facts/segments/memories 皆 0 行；④未登入 /home、/admin→/login；tsc 通過</t>
        </is>
      </c>
      <c r="O13" s="13" t="inlineStr">
        <is>
          <t>c16e1c2</t>
        </is>
      </c>
      <c r="P13" s="6" t="inlineStr">
        <is>
          <t>[2026-09-30] 權限設計討論後擴大範圍：見 Q7、Q9
[2026-10-07] 2026-10-07 本機驗證通過，未部署。上線前：生產 GoTrue 開 TOTP（GOTRUE_MFA_TOTP_ENROLL/VERIFY_ENABLED=true）、套 20261007140000+180000、手動 INSERT 第一個 super_admin；P0-17（anon key 是否 secret）未解前 ④ 在生產不成立
[2026-10-07] 2026-10-07 用戶決定取消 TOTP：管理員只看帳號角色，登入後可直接進 /admin。has_role() 不再要求 aal2（20261007191000）。
[2026-10-07] 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  <row r="14" ht="382" customHeight="1">
      <c r="A14" s="13" t="inlineStr">
        <is>
          <t>P0-13</t>
        </is>
      </c>
      <c r="B14" s="13" t="inlineStr">
        <is>
          <t>P0</t>
        </is>
      </c>
      <c r="C14" s="13" t="inlineStr">
        <is>
          <t>2 內測準備</t>
        </is>
      </c>
      <c r="D14" s="6" t="inlineStr">
        <is>
          <t>安全-韌體</t>
        </is>
      </c>
      <c r="E14" s="6" t="inlineStr">
        <is>
          <t>讓 OTA 真正可用並能回滾</t>
        </is>
      </c>
      <c r="F14" s="13" t="inlineStr">
        <is>
          <t>進行中</t>
        </is>
      </c>
      <c r="G14" s="13" t="inlineStr">
        <is>
          <t>通過</t>
        </is>
      </c>
      <c r="H14" s="13" t="n"/>
      <c r="I14" s="6" t="inlineStr">
        <is>
          <t>OTA 的韌體 URL 與伺服器證書仍是佔位符：出貨後無法修補任何漏洞。</t>
        </is>
      </c>
      <c r="J14" s="6" t="inlineStr">
        <is>
          <t>firmware-arduino/src/OTA.cpp:9, :14</t>
        </is>
      </c>
      <c r="K14" s="6" t="inlineStr">
        <is>
          <t>填入真實 URL 與 CA；新韌體啟動自檢通過才標記有效，否則自動回滾；設備上報韌體版本。</t>
        </is>
      </c>
      <c r="L14" s="6" t="inlineStr">
        <is>
          <t>① 實機推一次升級成功
② 推一個會崩潰的韌體，確認自動回滾到舊版</t>
        </is>
      </c>
      <c r="M14" s="13" t="n"/>
      <c r="N14" s="6" t="inlineStr">
        <is>
          <t>實機開發板 63:64（localall，本機後端）：① 1.1.0→1.2.1 OTA 下載 14s、sha256 過、重啟到 app1 試用、連上語音伺服器後穩定 120s 才 confirmed、開場白播完、devices 記 1.2.1 ② 推開機 3s 崩潰的 1.2.2：安裝→崩潰→bootloader 1s 內回到 1.2.1『rolled back from 1.2.2』→上報 ota_failed_version=1.2.2→再重啟不再下載。過程中測出並修好 2 個 bug：收到 auth 即確認太早（1.0.2 確認後崩潰循環，887b769 改為穩定 2 分鐘）；millis()|1 計時繞回導致誤回滾（3a874dd）。API 16/16，pio 全 env 通過</t>
        </is>
      </c>
      <c r="O14" s="13" t="inlineStr">
        <is>
          <t>68b9550</t>
        </is>
      </c>
      <c r="P14" s="6" t="inlineStr">
        <is>
          <t>[2026-10-08] 2026-10-08 b27cc07（分支 p0-13-ota）。部署時要套 20261008100000_firmware_releases.sql，發佈要用 SUPABASE_URL+service key 跑 tools/release_firmware.py
[2026-10-08] 2026-10-08 實機①②通過，未部署。上線要：套 20261008100000、部署前端、用 release_firmware.py 發佈正式 build；生產 HTTPS（同 CF CA）的 1.6MB 下載尚未在線上驗證。開發板現跑 1.2.1 localall。未做：已確認版本日後若崩潰循環不會自動切回舊槽，需 USB 救（可另立任務）
[2026-10-08] 2026-10-08 OTA 檢查併入 /api/generate_auth_token（68b9550），開機回到一次 TLS 握手；/api/ota/check 移除。token 路徑 API 11/11（舊韌體無 ota、格式錯仍發 token、回滾版本不再提供）；實機 1.3.0→1.3.1 經 token 回應安裝、試用、播完開場白、120s 確認。第一次升級 1.3.1 被 async_tcp 任務看門狗觸發重啟並正確回滾——是既有韌體 bug，見新任務</t>
        </is>
      </c>
    </row>
    <row r="15" ht="60" customHeight="1">
      <c r="A15" s="13" t="inlineStr">
        <is>
          <t>P0-14</t>
        </is>
      </c>
      <c r="B15" s="13" t="inlineStr">
        <is>
          <t>P0</t>
        </is>
      </c>
      <c r="C15" s="13" t="inlineStr">
        <is>
          <t>3 封閉內測</t>
        </is>
      </c>
      <c r="D15" s="6" t="inlineStr">
        <is>
          <t>安全-韌體</t>
        </is>
      </c>
      <c r="E15" s="6" t="inlineStr">
        <is>
          <t>韌體簽章、Secure Boot 與 Flash 加密</t>
        </is>
      </c>
      <c r="F15" s="13" t="inlineStr">
        <is>
          <t>未開始</t>
        </is>
      </c>
      <c r="G15" s="13" t="inlineStr">
        <is>
          <t>未測試</t>
        </is>
      </c>
      <c r="H15" s="13" t="n"/>
      <c r="I15" s="6" t="inlineStr">
        <is>
          <t>韌體沒有簽章驗證；NVS 裡的 token、WiFi 密碼可以用 esptool 直接讀出。</t>
        </is>
      </c>
      <c r="J15" s="6" t="inlineStr">
        <is>
          <t>firmware-arduino/platformio.ini
firmware-arduino/partition.csv</t>
        </is>
      </c>
      <c r="K15" s="6" t="inlineStr">
        <is>
          <t>啟用 Secure Boot v2、flash encryption、NVS encryption；OTA 只接受簽名映像。</t>
        </is>
      </c>
      <c r="L15" s="6" t="inlineStr">
        <is>
          <t>① 未簽名映像 OTA 被拒
② esptool read_flash 讀出的是密文</t>
        </is>
      </c>
      <c r="M15" s="13" t="inlineStr">
        <is>
          <t>P0-13, R-01</t>
        </is>
      </c>
      <c r="N15" s="6" t="n"/>
      <c r="O15" s="13" t="n"/>
      <c r="P15" s="6" t="inlineStr">
        <is>
          <t>燒 eFuse 不可逆：先用一片測試板驗證，每一步都要用戶確認。
[2026-09-30] Secure Boot 要在定案的板子上驗證</t>
        </is>
      </c>
    </row>
    <row r="16" ht="74" customHeight="1">
      <c r="A16" s="13" t="inlineStr">
        <is>
          <t>P1-01</t>
        </is>
      </c>
      <c r="B16" s="13" t="inlineStr">
        <is>
          <t>P1</t>
        </is>
      </c>
      <c r="C16" s="13" t="inlineStr">
        <is>
          <t>2 內測準備</t>
        </is>
      </c>
      <c r="D16" s="6" t="inlineStr">
        <is>
          <t>兒童安全</t>
        </is>
      </c>
      <c r="E16" s="6" t="inlineStr">
        <is>
          <t>加入內容審核層（輸入與輸出）</t>
        </is>
      </c>
      <c r="F16" s="13" t="inlineStr">
        <is>
          <t>未開始</t>
        </is>
      </c>
      <c r="G16" s="13" t="inlineStr">
        <is>
          <t>未測試</t>
        </is>
      </c>
      <c r="H16" s="13" t="n"/>
      <c r="I16" s="6" t="inlineStr">
        <is>
          <t>只靠 prompt 裡的「Be appropriate」，沒有審核；模型經 OpenRouter 路由到開源模型；Azure STT 預設 profanity=raw（因為 masked 會誤殺非英語）。</t>
        </is>
      </c>
      <c r="J16" s="6" t="inlineStr">
        <is>
          <t>server/fastapi/bot.py
server/fastapi/voice_pipeline.py
server/fastapi/models/stt/azure.py:47</t>
        </is>
      </c>
      <c r="K16" s="6" t="inlineStr">
        <is>
          <t>STT 文字與 LLM 輸出都經審核，尺度按 3–6 歲；命中時換成安全回覆並記錄事件，事件只記類別、時間、角色，不記原文（管理員不能看兒童內容，見 Q7）；首字延遲增加 ≤150ms。</t>
        </is>
      </c>
      <c r="L16" s="6" t="inlineStr">
        <is>
          <t>① 30 條紅隊句子（暴力、性、自殘、索取個人資料、越獄）全部被攔截或得到安全回應
② 100 條正常兒童對話誤攔率 &lt;2%
③ 用 turn_metrics 比較前後延遲
④ 事件表裡找不到任何對話原文</t>
        </is>
      </c>
      <c r="M16" s="13" t="n"/>
      <c r="N16" s="6" t="n"/>
      <c r="O16" s="13" t="n"/>
      <c r="P16" s="6" t="inlineStr">
        <is>
          <t>[2026-09-30] Q5：3–6 歲；Q7：事件不記原文</t>
        </is>
      </c>
    </row>
    <row r="17" ht="60" customHeight="1">
      <c r="A17" s="13" t="inlineStr">
        <is>
          <t>P1-02</t>
        </is>
      </c>
      <c r="B17" s="13" t="inlineStr">
        <is>
          <t>P1</t>
        </is>
      </c>
      <c r="C17" s="13" t="inlineStr">
        <is>
          <t>2 內測準備</t>
        </is>
      </c>
      <c r="D17" s="6" t="inlineStr">
        <is>
          <t>私隱</t>
        </is>
      </c>
      <c r="E17" s="6" t="inlineStr">
        <is>
          <t>日誌移除兒童個人資料</t>
        </is>
      </c>
      <c r="F17" s="13" t="inlineStr">
        <is>
          <t>未開始</t>
        </is>
      </c>
      <c r="G17" s="13" t="inlineStr">
        <is>
          <t>未測試</t>
        </is>
      </c>
      <c r="H17" s="13" t="n"/>
      <c r="I17" s="6" t="inlineStr">
        <is>
          <t>記憶事實原文、孩子姓名等被寫進伺服器日誌。</t>
        </is>
      </c>
      <c r="J17" s="6" t="inlineStr">
        <is>
          <t>server/fastapi/memory/session.py:482, :488
server/fastapi/device_registry.py（logger.info）</t>
        </is>
      </c>
      <c r="K17" s="6" t="inlineStr">
        <is>
          <t>生產日誌只記 ID、長度、類別，不記內容；內容只在 DEBUG 等級輸出，生產不開 DEBUG。</t>
        </is>
      </c>
      <c r="L17" s="6" t="inlineStr">
        <is>
          <t>跑一次含孩子姓名與寵物名的對話，grep 日誌找不到原文。</t>
        </is>
      </c>
      <c r="M17" s="13" t="n"/>
      <c r="N17" s="6" t="n"/>
      <c r="O17" s="13" t="n"/>
      <c r="P17" s="6" t="n"/>
    </row>
    <row r="18" ht="32" customHeight="1">
      <c r="A18" s="13" t="inlineStr">
        <is>
          <t>P1-03</t>
        </is>
      </c>
      <c r="B18" s="13" t="inlineStr">
        <is>
          <t>P1</t>
        </is>
      </c>
      <c r="C18" s="13" t="inlineStr">
        <is>
          <t>3 封閉內測</t>
        </is>
      </c>
      <c r="D18" s="6" t="inlineStr">
        <is>
          <t>私隱</t>
        </is>
      </c>
      <c r="E18" s="6" t="inlineStr">
        <is>
          <t>資料保留期限與自動清理</t>
        </is>
      </c>
      <c r="F18" s="13" t="inlineStr">
        <is>
          <t>未開始</t>
        </is>
      </c>
      <c r="G18" s="13" t="inlineStr">
        <is>
          <t>未測試</t>
        </is>
      </c>
      <c r="H18" s="13" t="n"/>
      <c r="I18" s="6" t="inlineStr">
        <is>
          <t>對話與記憶永久保存；刪帳號後資料可能殘留。</t>
        </is>
      </c>
      <c r="J18" s="6" t="inlineStr">
        <is>
          <t>conversations、memory_facts、memory_segments、turn_metrics</t>
        </is>
      </c>
      <c r="K18" s="6" t="inlineStr">
        <is>
          <t>定義保留期（例如對話 90 天）；定時清理；家長能一鍵刪除全部資料並級聯刪除。</t>
        </is>
      </c>
      <c r="L18" s="6" t="inlineStr">
        <is>
          <t>① 插入過期測試資料，跑清理後消失
② 刪除測試帳號後各表沒有殘留</t>
        </is>
      </c>
      <c r="M18" s="13" t="n"/>
      <c r="N18" s="6" t="n"/>
      <c r="O18" s="13" t="n"/>
      <c r="P18" s="6" t="n"/>
    </row>
    <row r="19" ht="32" customHeight="1">
      <c r="A19" s="13" t="inlineStr">
        <is>
          <t>P1-04</t>
        </is>
      </c>
      <c r="B19" s="13" t="inlineStr">
        <is>
          <t>P1</t>
        </is>
      </c>
      <c r="C19" s="13" t="inlineStr">
        <is>
          <t>3 封閉內測</t>
        </is>
      </c>
      <c r="D19" s="6" t="inlineStr">
        <is>
          <t>合規</t>
        </is>
      </c>
      <c r="E19" s="6" t="inlineStr">
        <is>
          <t>家長同意流程與私隱政策</t>
        </is>
      </c>
      <c r="F19" s="13" t="inlineStr">
        <is>
          <t>未開始</t>
        </is>
      </c>
      <c r="G19" s="13" t="inlineStr">
        <is>
          <t>未測試</t>
        </is>
      </c>
      <c r="H19" s="13" t="n"/>
      <c r="I19" s="6" t="inlineStr">
        <is>
          <t>沒有可驗證的家長同意，也沒有私隱政策；要符合哪條法規取決於目標市場（Q1）。</t>
        </is>
      </c>
      <c r="J19" s="6" t="inlineStr">
        <is>
          <t>frontend-nextjs 註冊／設定流程</t>
        </is>
      </c>
      <c r="K19" s="6" t="inlineStr">
        <is>
          <t>綁定設備前取得家長同意，並記錄時間與版本；私隱政策列明收集項目、用途、第三方與保留期。</t>
        </is>
      </c>
      <c r="L19" s="6" t="inlineStr">
        <is>
          <t>① 未同意的帳號無法綁定設備
② 法律顧問審閱通過</t>
        </is>
      </c>
      <c r="M19" s="13" t="inlineStr">
        <is>
          <t>Q1</t>
        </is>
      </c>
      <c r="N19" s="6" t="n"/>
      <c r="O19" s="13" t="n"/>
      <c r="P19" s="6" t="n"/>
    </row>
    <row r="20" ht="46" customHeight="1">
      <c r="A20" s="13" t="inlineStr">
        <is>
          <t>P1-05</t>
        </is>
      </c>
      <c r="B20" s="13" t="inlineStr">
        <is>
          <t>P1</t>
        </is>
      </c>
      <c r="C20" s="13" t="inlineStr">
        <is>
          <t>3 封閉內測</t>
        </is>
      </c>
      <c r="D20" s="6" t="inlineStr">
        <is>
          <t>合規</t>
        </is>
      </c>
      <c r="E20" s="6" t="inlineStr">
        <is>
          <t>第三方資料處理協議與資料流向</t>
        </is>
      </c>
      <c r="F20" s="13" t="inlineStr">
        <is>
          <t>未開始</t>
        </is>
      </c>
      <c r="G20" s="13" t="inlineStr">
        <is>
          <t>未測試</t>
        </is>
      </c>
      <c r="H20" s="13" t="n"/>
      <c r="I20" s="6" t="inlineStr">
        <is>
          <t>孩子的語音與文字流向 OpenRouter（及其下游模型供應商）、MiniMax、Azure 等第三方。</t>
        </is>
      </c>
      <c r="J20" s="6" t="inlineStr">
        <is>
          <t>server/fastapi/models/
server/fastapi/env.example</t>
        </is>
      </c>
      <c r="K20" s="6" t="inlineStr">
        <is>
          <t>畫出資料流向圖；每家供應商簽 DPA 或確認條款；OpenRouter 請求只路由到不留存、不用於訓練的供應商。</t>
        </is>
      </c>
      <c r="L20" s="6" t="inlineStr">
        <is>
          <t>① 文件審閱
② 抓一次 OpenRouter 請求，確認帶 provider.data_collection="deny"</t>
        </is>
      </c>
      <c r="M20" s="13" t="inlineStr">
        <is>
          <t>Q1</t>
        </is>
      </c>
      <c r="N20" s="6" t="n"/>
      <c r="O20" s="13" t="n"/>
      <c r="P20" s="6" t="n"/>
    </row>
    <row r="21" ht="32" customHeight="1">
      <c r="A21" s="13" t="inlineStr">
        <is>
          <t>P1-06</t>
        </is>
      </c>
      <c r="B21" s="13" t="inlineStr">
        <is>
          <t>P1</t>
        </is>
      </c>
      <c r="C21" s="13" t="inlineStr">
        <is>
          <t>3 封閉內測</t>
        </is>
      </c>
      <c r="D21" s="6" t="inlineStr">
        <is>
          <t>授權</t>
        </is>
      </c>
      <c r="E21" s="6" t="inlineStr">
        <is>
          <t>處理 GPL-3.0 依賴（arduino-audio-tools）</t>
        </is>
      </c>
      <c r="F21" s="13" t="inlineStr">
        <is>
          <t>未開始</t>
        </is>
      </c>
      <c r="G21" s="13" t="inlineStr">
        <is>
          <t>未測試</t>
        </is>
      </c>
      <c r="H21" s="13" t="n"/>
      <c r="I21" s="6" t="inlineStr">
        <is>
          <t>韌體靜態連結 GPL-3.0 的 arduino-audio-tools：閉源銷售就必須公開整個韌體原始碼。</t>
        </is>
      </c>
      <c r="J21" s="6" t="inlineStr">
        <is>
          <t>firmware-arduino/platformio.ini（lib_deps）</t>
        </is>
      </c>
      <c r="K21" s="6" t="inlineStr">
        <is>
          <t>二選一：韌體以 GPL 開源；或替換成 ESP-IDF I2S 等非 GPL 實作。</t>
        </is>
      </c>
      <c r="L21" s="6" t="inlineStr">
        <is>
          <t>依賴清單中沒有 GPL 庫，或韌體原始碼已公開。</t>
        </is>
      </c>
      <c r="M21" s="13" t="inlineStr">
        <is>
          <t>Q3</t>
        </is>
      </c>
      <c r="N21" s="6" t="n"/>
      <c r="O21" s="13" t="n"/>
      <c r="P21" s="6" t="n"/>
    </row>
    <row r="22" ht="46" customHeight="1">
      <c r="A22" s="13" t="inlineStr">
        <is>
          <t>P1-07</t>
        </is>
      </c>
      <c r="B22" s="13" t="inlineStr">
        <is>
          <t>P1</t>
        </is>
      </c>
      <c r="C22" s="13" t="inlineStr">
        <is>
          <t>3 封閉內測</t>
        </is>
      </c>
      <c r="D22" s="6" t="inlineStr">
        <is>
          <t>授權</t>
        </is>
      </c>
      <c r="E22" s="6" t="inlineStr">
        <is>
          <t>LGPL 合規與第三方授權聲明</t>
        </is>
      </c>
      <c r="F22" s="13" t="inlineStr">
        <is>
          <t>未開始</t>
        </is>
      </c>
      <c r="G22" s="13" t="inlineStr">
        <is>
          <t>未測試</t>
        </is>
      </c>
      <c r="H22" s="13" t="n"/>
      <c r="I22" s="6" t="inlineStr">
        <is>
          <t>AsyncTCP、ESPAsyncWebServer（LGPL-3.0）、WebSockets（LGPL-2.1）靜態連結，有讓用戶重新連結的義務；上游 ElatoAI 是 MIT，需要保留聲明。</t>
        </is>
      </c>
      <c r="J22" s="6" t="inlineStr">
        <is>
          <t>firmware-arduino/.pio/libdeps
LICENSE</t>
        </is>
      </c>
      <c r="K22" s="6" t="inlineStr">
        <is>
          <t>產出 THIRD_PARTY_NOTICES；提供可重新連結的目標檔，或替換這些庫。</t>
        </is>
      </c>
      <c r="L22" s="6" t="inlineStr">
        <is>
          <t>文件審閱。</t>
        </is>
      </c>
      <c r="M22" s="13" t="inlineStr">
        <is>
          <t>Q3</t>
        </is>
      </c>
      <c r="N22" s="6" t="n"/>
      <c r="O22" s="13" t="n"/>
      <c r="P22" s="6" t="n"/>
    </row>
    <row r="23" ht="46" customHeight="1">
      <c r="A23" s="13" t="inlineStr">
        <is>
          <t>P1-08</t>
        </is>
      </c>
      <c r="B23" s="13" t="inlineStr">
        <is>
          <t>P1</t>
        </is>
      </c>
      <c r="C23" s="13" t="inlineStr">
        <is>
          <t>3 封閉內測</t>
        </is>
      </c>
      <c r="D23" s="6" t="inlineStr">
        <is>
          <t>硬件</t>
        </is>
      </c>
      <c r="E23" s="6" t="inlineStr">
        <is>
          <t>硬件認證</t>
        </is>
      </c>
      <c r="F23" s="13" t="inlineStr">
        <is>
          <t>未開始</t>
        </is>
      </c>
      <c r="G23" s="13" t="inlineStr">
        <is>
          <t>未測試</t>
        </is>
      </c>
      <c r="H23" s="13" t="n"/>
      <c r="I23" s="6" t="inlineStr">
        <is>
          <t>無線（FCC／CE-RED 等）、玩具安全（EN71／ASTM F963）、電池運輸（UN38.3）都是上市前提，具體取決於目標市場。</t>
        </is>
      </c>
      <c r="J23" s="6" t="inlineStr">
        <is>
          <t>硬件設計</t>
        </is>
      </c>
      <c r="K23" s="6" t="inlineStr">
        <is>
          <t>列出目標市場需要的認證清單與時間表，並完成送測。</t>
        </is>
      </c>
      <c r="L23" s="6" t="inlineStr">
        <is>
          <t>取得認證報告。</t>
        </is>
      </c>
      <c r="M23" s="13" t="inlineStr">
        <is>
          <t>Q1, R-01, R-05</t>
        </is>
      </c>
      <c r="N23" s="6" t="n"/>
      <c r="O23" s="13" t="n"/>
      <c r="P23" s="6" t="inlineStr">
        <is>
          <t>[2026-09-30] 送測需要定案的板子和外殼樣品</t>
        </is>
      </c>
    </row>
    <row r="24" ht="102" customHeight="1">
      <c r="A24" s="13" t="inlineStr">
        <is>
          <t>P2-01</t>
        </is>
      </c>
      <c r="B24" s="13" t="inlineStr">
        <is>
          <t>P2</t>
        </is>
      </c>
      <c r="C24" s="13" t="inlineStr">
        <is>
          <t>1 止血定案</t>
        </is>
      </c>
      <c r="D24" s="6" t="inlineStr">
        <is>
          <t>測試</t>
        </is>
      </c>
      <c r="E24" s="6" t="inlineStr">
        <is>
          <t>修好後端測試環境</t>
        </is>
      </c>
      <c r="F24" s="13" t="inlineStr">
        <is>
          <t>已完成</t>
        </is>
      </c>
      <c r="G24" s="13" t="inlineStr">
        <is>
          <t>通過</t>
        </is>
      </c>
      <c r="H24" s="13" t="inlineStr">
        <is>
          <t>2026-10-07</t>
        </is>
      </c>
      <c r="I24" s="6" t="inlineStr">
        <is>
          <t>129 個測試中 58 個失敗；原因是 dev 依賴缺 pytest-asyncio，不是程式錯誤。</t>
        </is>
      </c>
      <c r="J24" s="6" t="inlineStr">
        <is>
          <t>server/fastapi/pyproject.toml</t>
        </is>
      </c>
      <c r="K24" s="6" t="inlineStr">
        <is>
          <t>dev group 加入 pytest 與 pytest-asyncio；全部測試通過。</t>
        </is>
      </c>
      <c r="L24" s="6" t="inlineStr">
        <is>
          <t>cd server/fastapi &amp;&amp; .venv/bin/python -m pytest -q 全部通過。</t>
        </is>
      </c>
      <c r="M24" s="13" t="n"/>
      <c r="N24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O24" s="13" t="inlineStr">
        <is>
          <t>6641fa8</t>
        </is>
      </c>
      <c r="P24" s="6" t="inlineStr">
        <is>
          <t>[2026-10-07] 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25" ht="46" customHeight="1">
      <c r="A25" s="13" t="inlineStr">
        <is>
          <t>P2-02</t>
        </is>
      </c>
      <c r="B25" s="13" t="inlineStr">
        <is>
          <t>P2</t>
        </is>
      </c>
      <c r="C25" s="13" t="inlineStr">
        <is>
          <t>2 內測準備</t>
        </is>
      </c>
      <c r="D25" s="6" t="inlineStr">
        <is>
          <t>CI/CD</t>
        </is>
      </c>
      <c r="E25" s="6" t="inlineStr">
        <is>
          <t>CI 跑測試與靜態檢查</t>
        </is>
      </c>
      <c r="F25" s="13" t="inlineStr">
        <is>
          <t>未開始</t>
        </is>
      </c>
      <c r="G25" s="13" t="inlineStr">
        <is>
          <t>未測試</t>
        </is>
      </c>
      <c r="H25" s="13" t="n"/>
      <c r="I25" s="6" t="inlineStr">
        <is>
          <t>CI 只 build image，不跑任何測試：壞的程式照樣會發佈。</t>
        </is>
      </c>
      <c r="J25" s="6" t="inlineStr">
        <is>
          <t>.github/workflows/</t>
        </is>
      </c>
      <c r="K25" s="6" t="inlineStr">
        <is>
          <t>推送與 PR 時跑 pytest、ruff、pyright、next lint、tsc --noEmit、pio run；任何一項失敗就不發佈 image。</t>
        </is>
      </c>
      <c r="L25" s="6" t="inlineStr">
        <is>
          <t>故意推一個失敗測試到分支：CI 變紅，而且沒有發佈 image。</t>
        </is>
      </c>
      <c r="M25" s="13" t="inlineStr">
        <is>
          <t>P2-01</t>
        </is>
      </c>
      <c r="N25" s="6" t="n"/>
      <c r="O25" s="13" t="n"/>
      <c r="P25" s="6" t="n"/>
    </row>
    <row r="26" ht="74" customHeight="1">
      <c r="A26" s="13" t="inlineStr">
        <is>
          <t>P2-03</t>
        </is>
      </c>
      <c r="B26" s="13" t="inlineStr">
        <is>
          <t>P2</t>
        </is>
      </c>
      <c r="C26" s="13" t="inlineStr">
        <is>
          <t>1 止血定案</t>
        </is>
      </c>
      <c r="D26" s="6" t="inlineStr">
        <is>
          <t>版本管理</t>
        </is>
      </c>
      <c r="E26" s="6" t="inlineStr">
        <is>
          <t>提交目前未提交的改動</t>
        </is>
      </c>
      <c r="F26" s="13" t="inlineStr">
        <is>
          <t>已完成</t>
        </is>
      </c>
      <c r="G26" s="13" t="inlineStr">
        <is>
          <t>通過</t>
        </is>
      </c>
      <c r="H26" s="13" t="inlineStr">
        <is>
          <t>2026-10-06</t>
        </is>
      </c>
      <c r="I26" s="6" t="inlineStr">
        <is>
          <t>57 個檔案未提交，包括新板子支援（BoardConfig、Codec、IoExpander、LedRing、Battery），隨時可能遺失。</t>
        </is>
      </c>
      <c r="J26" s="6" t="inlineStr">
        <is>
          <t>git status</t>
        </is>
      </c>
      <c r="K26" s="6" t="inlineStr">
        <is>
          <t>按主題拆成若干 commit 並推到 mygithub。</t>
        </is>
      </c>
      <c r="L26" s="6" t="inlineStr">
        <is>
          <t>git status 乾淨；mygithub 上可以看到這些 commit。</t>
        </is>
      </c>
      <c r="M26" s="13" t="n"/>
      <c r="N26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O26" s="13" t="inlineStr">
        <is>
          <t>b322375</t>
        </is>
      </c>
      <c r="P26" s="6" t="inlineStr">
        <is>
          <t>推到 mygithub 會觸發部署：推送前先跟用戶確認。</t>
        </is>
      </c>
    </row>
    <row r="27" ht="32" customHeight="1">
      <c r="A27" s="13" t="inlineStr">
        <is>
          <t>P2-04</t>
        </is>
      </c>
      <c r="B27" s="13" t="inlineStr">
        <is>
          <t>P2</t>
        </is>
      </c>
      <c r="C27" s="13" t="inlineStr">
        <is>
          <t>2 內測準備</t>
        </is>
      </c>
      <c r="D27" s="6" t="inlineStr">
        <is>
          <t>部署</t>
        </is>
      </c>
      <c r="E27" s="6" t="inlineStr">
        <is>
          <t>容器改用非 root 用戶</t>
        </is>
      </c>
      <c r="F27" s="13" t="inlineStr">
        <is>
          <t>未開始</t>
        </is>
      </c>
      <c r="G27" s="13" t="inlineStr">
        <is>
          <t>未測試</t>
        </is>
      </c>
      <c r="H27" s="13" t="n"/>
      <c r="I27" s="6" t="inlineStr">
        <is>
          <t>FastAPI 與前端容器以 root 運行。</t>
        </is>
      </c>
      <c r="J27" s="6" t="inlineStr">
        <is>
          <t>server/fastapi/Dockerfile
frontend-nextjs/Dockerfile</t>
        </is>
      </c>
      <c r="K27" s="6" t="inlineStr">
        <is>
          <t>兩個 Dockerfile 都設定非 root 的 USER。</t>
        </is>
      </c>
      <c r="L27" s="6" t="inlineStr">
        <is>
          <t>docker run --rm &lt;image&gt; id -u 輸出不是 0。</t>
        </is>
      </c>
      <c r="M27" s="13" t="n"/>
      <c r="N27" s="6" t="n"/>
      <c r="O27" s="13" t="n"/>
      <c r="P27" s="6" t="n"/>
    </row>
    <row r="28" ht="32" customHeight="1">
      <c r="A28" s="13" t="inlineStr">
        <is>
          <t>P2-05</t>
        </is>
      </c>
      <c r="B28" s="13" t="inlineStr">
        <is>
          <t>P2</t>
        </is>
      </c>
      <c r="C28" s="13" t="inlineStr">
        <is>
          <t>4 量產出貨</t>
        </is>
      </c>
      <c r="D28" s="6" t="inlineStr">
        <is>
          <t>成本/濫用</t>
        </is>
      </c>
      <c r="E28" s="6" t="inlineStr">
        <is>
          <t>拒絕未知設備並限制用量</t>
        </is>
      </c>
      <c r="F28" s="13" t="inlineStr">
        <is>
          <t>未開始</t>
        </is>
      </c>
      <c r="G28" s="13" t="inlineStr">
        <is>
          <t>未測試</t>
        </is>
      </c>
      <c r="H28" s="13" t="n"/>
      <c r="I28" s="6" t="inlineStr">
        <is>
          <t>陌生 MAC 也能拿到預設角色的 session（fail open），可以無限消耗 API。</t>
        </is>
      </c>
      <c r="J28" s="6" t="inlineStr">
        <is>
          <t>server/fastapi/server.py
server/fastapi/device_registry.py</t>
        </is>
      </c>
      <c r="K28" s="6" t="inlineStr">
        <is>
          <t>未認證設備拒絕連線；每台設備、每個帳號有每日對話時長上限；每個 IP 有連線限流。</t>
        </is>
      </c>
      <c r="L28" s="6" t="inlineStr">
        <is>
          <t>超出限額後連線被拒，並留下日誌。</t>
        </is>
      </c>
      <c r="M28" s="13" t="inlineStr">
        <is>
          <t>P0-08</t>
        </is>
      </c>
      <c r="N28" s="6" t="n"/>
      <c r="O28" s="13" t="n"/>
      <c r="P28" s="6" t="n"/>
    </row>
    <row r="29" ht="32" customHeight="1">
      <c r="A29" s="13" t="inlineStr">
        <is>
          <t>P2-06</t>
        </is>
      </c>
      <c r="B29" s="13" t="inlineStr">
        <is>
          <t>P2</t>
        </is>
      </c>
      <c r="C29" s="13" t="inlineStr">
        <is>
          <t>3 封閉內測</t>
        </is>
      </c>
      <c r="D29" s="6" t="inlineStr">
        <is>
          <t>可觀測性</t>
        </is>
      </c>
      <c r="E29" s="6" t="inlineStr">
        <is>
          <t>錯誤追蹤與告警</t>
        </is>
      </c>
      <c r="F29" s="13" t="inlineStr">
        <is>
          <t>未開始</t>
        </is>
      </c>
      <c r="G29" s="13" t="inlineStr">
        <is>
          <t>未測試</t>
        </is>
      </c>
      <c r="H29" s="13" t="n"/>
      <c r="I29" s="6" t="inlineStr">
        <is>
          <t>沒有錯誤追蹤與告警：線上出問題只能靠用戶反映。</t>
        </is>
      </c>
      <c r="J29" s="6" t="inlineStr">
        <is>
          <t>FastAPI、Next.js、韌體（崩潰上報）</t>
        </is>
      </c>
      <c r="K29" s="6" t="inlineStr">
        <is>
          <t>三端接入錯誤追蹤；對健康檢查、錯誤率、延遲 p95 設告警。</t>
        </is>
      </c>
      <c r="L29" s="6" t="inlineStr">
        <is>
          <t>人為製造一個錯誤，5 分鐘內收到告警。</t>
        </is>
      </c>
      <c r="M29" s="13" t="n"/>
      <c r="N29" s="6" t="n"/>
      <c r="O29" s="13" t="n"/>
      <c r="P29" s="6" t="n"/>
    </row>
    <row r="30" ht="32" customHeight="1">
      <c r="A30" s="13" t="inlineStr">
        <is>
          <t>P2-07</t>
        </is>
      </c>
      <c r="B30" s="13" t="inlineStr">
        <is>
          <t>P2</t>
        </is>
      </c>
      <c r="C30" s="13" t="inlineStr">
        <is>
          <t>3 封閉內測</t>
        </is>
      </c>
      <c r="D30" s="6" t="inlineStr">
        <is>
          <t>運維</t>
        </is>
      </c>
      <c r="E30" s="6" t="inlineStr">
        <is>
          <t>資料庫備份與還原演練</t>
        </is>
      </c>
      <c r="F30" s="13" t="inlineStr">
        <is>
          <t>未開始</t>
        </is>
      </c>
      <c r="G30" s="13" t="inlineStr">
        <is>
          <t>未測試</t>
        </is>
      </c>
      <c r="H30" s="13" t="n"/>
      <c r="I30" s="6" t="inlineStr">
        <is>
          <t>自架 Supabase，沒看到備份策略：硬碟壞掉就等於失去所有孩子的記憶。</t>
        </is>
      </c>
      <c r="J30" s="6" t="inlineStr">
        <is>
          <t>伺服器上的自架 Supabase</t>
        </is>
      </c>
      <c r="K30" s="6" t="inlineStr">
        <is>
          <t>每日自動備份到異地，保留 30 天；做過一次完整還原。</t>
        </is>
      </c>
      <c r="L30" s="6" t="inlineStr">
        <is>
          <t>從備份還原到新實例，核對主要表的行數一致。</t>
        </is>
      </c>
      <c r="M30" s="13" t="n"/>
      <c r="N30" s="6" t="n"/>
      <c r="O30" s="13" t="n"/>
      <c r="P30" s="6" t="n"/>
    </row>
    <row r="31" ht="46" customHeight="1">
      <c r="A31" s="13" t="inlineStr">
        <is>
          <t>P2-08</t>
        </is>
      </c>
      <c r="B31" s="13" t="inlineStr">
        <is>
          <t>P2</t>
        </is>
      </c>
      <c r="C31" s="13" t="inlineStr">
        <is>
          <t>4 量產出貨</t>
        </is>
      </c>
      <c r="D31" s="6" t="inlineStr">
        <is>
          <t>擴展性</t>
        </is>
      </c>
      <c r="E31" s="6" t="inlineStr">
        <is>
          <t>多實例擴展</t>
        </is>
      </c>
      <c r="F31" s="13" t="inlineStr">
        <is>
          <t>未開始</t>
        </is>
      </c>
      <c r="G31" s="13" t="inlineStr">
        <is>
          <t>未測試</t>
        </is>
      </c>
      <c r="H31" s="13" t="n"/>
      <c r="I31" s="6" t="inlineStr">
        <is>
          <t>session 登記在進程記憶體裡，只能跑單實例；單機上限未知。</t>
        </is>
      </c>
      <c r="J31" s="6" t="inlineStr">
        <is>
          <t>server/fastapi/server.py:35
server/fastapi/memory/session.py:564</t>
        </is>
      </c>
      <c r="K31" s="6" t="inlineStr">
        <is>
          <t>壓測得出單機並發上限；需要時按 user_id 做 sticky routing，或把 session registry 移到 Redis。</t>
        </is>
      </c>
      <c r="L31" s="6" t="inlineStr">
        <is>
          <t>① 壓測報告
② 兩個實例下，device_refresh 對同一台設備仍然生效</t>
        </is>
      </c>
      <c r="M31" s="13" t="n"/>
      <c r="N31" s="6" t="n"/>
      <c r="O31" s="13" t="n"/>
      <c r="P31" s="6" t="inlineStr">
        <is>
          <t>優先次序取決於 Q4（第一年設備數量）。</t>
        </is>
      </c>
    </row>
    <row r="32" ht="32" customHeight="1">
      <c r="A32" s="13" t="inlineStr">
        <is>
          <t>P2-09</t>
        </is>
      </c>
      <c r="B32" s="13" t="inlineStr">
        <is>
          <t>P2</t>
        </is>
      </c>
      <c r="C32" s="13" t="inlineStr">
        <is>
          <t>2 內測準備</t>
        </is>
      </c>
      <c r="D32" s="6" t="inlineStr">
        <is>
          <t>成本/濫用</t>
        </is>
      </c>
      <c r="E32" s="6" t="inlineStr">
        <is>
          <t>每台設備成本監控</t>
        </is>
      </c>
      <c r="F32" s="13" t="inlineStr">
        <is>
          <t>未開始</t>
        </is>
      </c>
      <c r="G32" s="13" t="inlineStr">
        <is>
          <t>未測試</t>
        </is>
      </c>
      <c r="H32" s="13" t="n"/>
      <c r="I32" s="6" t="inlineStr">
        <is>
          <t>不知道每次對話、每台設備每月花多少錢，無法定價。</t>
        </is>
      </c>
      <c r="J32" s="6" t="inlineStr">
        <is>
          <t>turn_metrics
各供應商帳單</t>
        </is>
      </c>
      <c r="K32" s="6" t="inlineStr">
        <is>
          <t>每個 session 記錄 STT 秒數、LLM token、TTS 字數並換算成本；admin 頁顯示每台設備的月成本。</t>
        </is>
      </c>
      <c r="L32" s="6" t="inlineStr">
        <is>
          <t>抽 10 個 session 與供應商帳單對帳，誤差 &lt;10%。</t>
        </is>
      </c>
      <c r="M32" s="13" t="n"/>
      <c r="N32" s="6" t="n"/>
      <c r="O32" s="13" t="n"/>
      <c r="P32" s="6" t="n"/>
    </row>
    <row r="33" ht="409" customHeight="1">
      <c r="A33" s="13" t="inlineStr">
        <is>
          <t>R-01</t>
        </is>
      </c>
      <c r="B33" s="13" t="inlineStr">
        <is>
          <t>R</t>
        </is>
      </c>
      <c r="C33" s="13" t="inlineStr">
        <is>
          <t>1 止血定案</t>
        </is>
      </c>
      <c r="D33" s="6" t="inlineStr">
        <is>
          <t>硬件</t>
        </is>
      </c>
      <c r="E33" s="6" t="inlineStr">
        <is>
          <t>選定量產板子</t>
        </is>
      </c>
      <c r="F33" s="13" t="inlineStr">
        <is>
          <t>進行中</t>
        </is>
      </c>
      <c r="G33" s="13" t="inlineStr">
        <is>
          <t>未測試</t>
        </is>
      </c>
      <c r="H33" s="13" t="n"/>
      <c r="I33" s="6" t="inlineStr">
        <is>
          <t>第一批的板子還沒定：Waveshare ESP32-S3-AUDIO-Board 已對線上伺服器跑通完整對話；另一塊類似 xmini-c3 的新板還沒到貨。內測必須用將來量產的那塊板。</t>
        </is>
      </c>
      <c r="J33" s="6" t="inlineStr">
        <is>
          <t>firmware-arduino/BOARDS.md
firmware-arduino/src/BoardConfig.h
firmware-arduino/src/Config.cpp</t>
        </is>
      </c>
      <c r="K33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L33" s="6" t="inlineStr">
        <is>
          <t>評分表逐項實測：
① 連續對話 2 小時不重啟、不斷線
② 對話中最低剩餘 heap 與最大連續塊
③ 電量讀取與續航（連續對話／待機）
④ 休眠與喚醒
⑤ 裝殼後喇叭響度、1 米外收音
⑥ Secure Boot v2＋Flash 加密燒錄流程
⑦ 500 片價格、交期、FCC／CE 報告、是否已認證模組
⑧ 加分：螢幕（顯示配對碼）、現成外殼</t>
        </is>
      </c>
      <c r="M33" s="13" t="n"/>
      <c r="N33" s="6" t="n"/>
      <c r="O33" s="13" t="n"/>
      <c r="P33" s="6" t="inlineStr">
        <is>
          <t>新板到貨前，可先從 xiaozhi-esp32 的 config.h 取腳位預先移植。
[2026-10-05] 2026-10-05：期限由「最遲 10/30」收緊為 10/16，外殼、認證、生產都在等這個決定。
[2026-10-05] 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
[2026-10-05] 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
[2026-10-05] 2026-10-05：用戶表示 Spotpear AI Toy（即 toy-ai-core-c3-1.54，env 改名 spotpear-ai-toy）大概率就是量產板；已和用戶跑通 app 綁定和完整對話。電池檢測的改板要求另立任務。
[2026-10-07] 2026-10-07：用戶定案 Spotpear AI Toy（toy-ai-core-c3-1.54，env spotpear-ai-toy）為量產板，不再等另一塊板。驗收改為在 Spotpear 上測完評分表，確認沒有否決性問題；仍缺 ①②⑥⑦。</t>
        </is>
      </c>
    </row>
    <row r="34" ht="409" customHeight="1">
      <c r="A34" s="13" t="inlineStr">
        <is>
          <t>R-02</t>
        </is>
      </c>
      <c r="B34" s="13" t="inlineStr">
        <is>
          <t>R</t>
        </is>
      </c>
      <c r="C34" s="13" t="inlineStr">
        <is>
          <t>1 止血定案</t>
        </is>
      </c>
      <c r="D34" s="6" t="inlineStr">
        <is>
          <t>內容</t>
        </is>
      </c>
      <c r="E34" s="6" t="inlineStr">
        <is>
          <t>角色收窄到 5–8 個粵語陪伴角色</t>
        </is>
      </c>
      <c r="F34" s="13" t="inlineStr">
        <is>
          <t>進行中</t>
        </is>
      </c>
      <c r="G34" s="13" t="inlineStr">
        <is>
          <t>通過</t>
        </is>
      </c>
      <c r="H34" s="13" t="n"/>
      <c r="I34" s="6" t="inlineStr">
        <is>
          <t>現有 40 多個角色大多來自上游：有侵權風險（Batman、Iron Man、Gandalf、Elsa's Frozen Mystery）、涉及醫療（Blood test pal、Luna the Epilepsy Guardian、Vax Buddy）、語氣不適合兒童（Kai Indiebrew 等），而且多數不是粵語。</t>
        </is>
      </c>
      <c r="J34" s="6" t="inlineStr">
        <is>
          <t>personalities 表（is_hidden）
server/fastapi/character_prompt.py
supabase/migrations/</t>
        </is>
      </c>
      <c r="K34" s="6" t="inlineStr">
        <is>
          <t>只保留 5–8 個自己設計的粵語陪伴角色，其餘設為 is_hidden；每個角色按 3–6 歲設計：句子短、用詞簡單、一次只問一個問題，不講恐怖、暴力或需要識字的內容。</t>
        </is>
      </c>
      <c r="L34" s="6" t="inlineStr">
        <is>
          <t>① 查 personalities 表，未隱藏的只剩選定角色
② Web 端角色列表只顯示這些
③ 每個角色用 10 句粵語對話抽查：每次回覆不超過 3 句，用詞 3–6 歲聽得懂，一次只問一個問題</t>
        </is>
      </c>
      <c r="M34" s="13" t="inlineStr">
        <is>
          <t>Q5</t>
        </is>
      </c>
      <c r="N34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O34" s="13" t="inlineStr">
        <is>
          <t>f72652b</t>
        </is>
      </c>
      <c r="P34" s="6" t="inlineStr">
        <is>
          <t>[2026-09-30] Q5：3–6 歲
[2026-10-07] 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
[2026-10-07] 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
[2026-10-07] 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35" ht="130" customHeight="1">
      <c r="A35" s="13" t="inlineStr">
        <is>
          <t>R-03</t>
        </is>
      </c>
      <c r="B35" s="13" t="inlineStr">
        <is>
          <t>R</t>
        </is>
      </c>
      <c r="C35" s="13" t="inlineStr">
        <is>
          <t>1 止血定案</t>
        </is>
      </c>
      <c r="D35" s="6" t="inlineStr">
        <is>
          <t>工程</t>
        </is>
      </c>
      <c r="E35" s="6" t="inlineStr">
        <is>
          <t>移除不用的 Deno／Cloudflare 後端與上游預設主機</t>
        </is>
      </c>
      <c r="F35" s="13" t="inlineStr">
        <is>
          <t>已完成</t>
        </is>
      </c>
      <c r="G35" s="13" t="inlineStr">
        <is>
          <t>通過</t>
        </is>
      </c>
      <c r="H35" s="13" t="inlineStr">
        <is>
          <t>2026-10-07</t>
        </is>
      </c>
      <c r="I35" s="6" t="inlineStr">
        <is>
          <t>網頁端只連 FastAPI；Deno、Cloudflare 只剩韌體的編譯選項和佔位符，另外還留著上游的 Railway 主機（elato-pyserver-production.up.railway.app）。留著會增加維護面，也可能被誤設成連到別人的伺服器。</t>
        </is>
      </c>
      <c r="J35" s="6" t="inlineStr">
        <is>
          <t>server/deno/
server/cloudflare/
firmware-arduino/src/Config.cpp:48, :67, :93
README.md</t>
        </is>
      </c>
      <c r="K35" s="6" t="inlineStr">
        <is>
          <t>刪除兩個後端目錄；韌體只保留 FastAPI 路線（移除 VOICE_SERVER_DENO／_CLOUDFLARE 分支與 Railway 主機）；README 只描述 FastAPI。</t>
        </is>
      </c>
      <c r="L35" s="6" t="inlineStr">
        <is>
          <t>① grep 全 repo 找不到 deno.dev、workers.dev、railway.app、VOICE_SERVER_DENO、VOICE_SERVER_CLOUDFLARE
② 各板的 pio run 編譯通過
③ FastAPI 測試通過</t>
        </is>
      </c>
      <c r="M35" s="13" t="n"/>
      <c r="N35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O35" s="13" t="inlineStr">
        <is>
          <t>c3c5249</t>
        </is>
      </c>
      <c r="P35" s="6" t="inlineStr">
        <is>
          <t>[2026-10-07] 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36" ht="74" customHeight="1">
      <c r="A36" s="13" t="inlineStr">
        <is>
          <t>R-04</t>
        </is>
      </c>
      <c r="B36" s="13" t="inlineStr">
        <is>
          <t>R</t>
        </is>
      </c>
      <c r="C36" s="13" t="inlineStr">
        <is>
          <t>2 內測準備</t>
        </is>
      </c>
      <c r="D36" s="6" t="inlineStr">
        <is>
          <t>體驗</t>
        </is>
      </c>
      <c r="E36" s="6" t="inlineStr">
        <is>
          <t>粵語質量評測</t>
        </is>
      </c>
      <c r="F36" s="13" t="inlineStr">
        <is>
          <t>未開始</t>
        </is>
      </c>
      <c r="G36" s="13" t="inlineStr">
        <is>
          <t>未測試</t>
        </is>
      </c>
      <c r="H36" s="13" t="n"/>
      <c r="I36" s="6" t="inlineStr">
        <is>
          <t>香港市場的核心體驗還沒驗證：LLM 可能輸出書面語而不是口語粵語；Azure 對兒童聲音的識別率未知；中英夾雜（「我今日去咗 playground」）未測。</t>
        </is>
      </c>
      <c r="J36" s="6" t="inlineStr">
        <is>
          <t>server/fastapi/language_profiles.py
server/fastapi/models/stt/azure.py
OpenRouter 模型設定（admin 頁）</t>
        </is>
      </c>
      <c r="K36" s="6" t="inlineStr">
        <is>
          <t>有一套粵語評測集（兒童錄音＋文字提示）；選定的 STT 與 LLM 達到門檻：兒童語音字錯率 ≤15%、口語粵語回覆 ≥90%、中英夾雜句能正確理解。</t>
        </is>
      </c>
      <c r="L36" s="6" t="inlineStr">
        <is>
          <t>① 30 段 3–6 歲兒童的粵語錄音（3 歲、4–5 歲、6 歲都要有，含中英夾雜）測 STT 字錯率
② 50 條提示比較 2–3 個候選 LLM 的口語粵語比例
③ 結果與腳本放在 server/fastapi/evals/</t>
        </is>
      </c>
      <c r="M36" s="13" t="n"/>
      <c r="N36" s="6" t="n"/>
      <c r="O36" s="13" t="n"/>
      <c r="P36" s="6" t="inlineStr">
        <is>
          <t>門檻是建議值，可按首輪結果與你討論後調整。
[2026-09-30] Q5：3–6 歲；3 歲發音較不清，字錯率門檻可能要按首輪結果再討論</t>
        </is>
      </c>
    </row>
    <row r="37" ht="60" customHeight="1">
      <c r="A37" s="13" t="inlineStr">
        <is>
          <t>R-05</t>
        </is>
      </c>
      <c r="B37" s="13" t="inlineStr">
        <is>
          <t>R</t>
        </is>
      </c>
      <c r="C37" s="13" t="inlineStr">
        <is>
          <t>2 內測準備</t>
        </is>
      </c>
      <c r="D37" s="6" t="inlineStr">
        <is>
          <t>硬件</t>
        </is>
      </c>
      <c r="E37" s="6" t="inlineStr">
        <is>
          <t>內測版外殼（3D 打印 20 台）</t>
        </is>
      </c>
      <c r="F37" s="13" t="inlineStr">
        <is>
          <t>未開始</t>
        </is>
      </c>
      <c r="G37" s="13" t="inlineStr">
        <is>
          <t>未測試</t>
        </is>
      </c>
      <c r="H37" s="13" t="n"/>
      <c r="I37" s="6" t="inlineStr">
        <is>
          <t>內測家庭需要能直接給小朋友用的外殼；GPIO0 是唯一能喚醒、也是按住說話的鍵，必須做成小朋友按得到的大按鍵。</t>
        </is>
      </c>
      <c r="J37" s="6" t="inlineStr">
        <is>
          <t>選定板子的尺寸圖與腳位</t>
        </is>
      </c>
      <c r="K37" s="6" t="inlineStr">
        <is>
          <t>20 台裝殼完成：大按鍵對應 GPIO0；喇叭與麥克風開孔不影響聲音；能充電、看得到燈號；沒有尖角和可吞食的小零件。</t>
        </is>
      </c>
      <c r="L37" s="6" t="inlineStr">
        <is>
          <t>① 裝殼前後各測一次喇叭響度與 1 米收音
② 3 歲、4–5 歲、6 歲各至少一位小朋友試用：按得動大按鍵，並理解「按住說話、放開聽回覆」
③ 1 米高跌落測試，沒有零件脫落</t>
        </is>
      </c>
      <c r="M37" s="13" t="inlineStr">
        <is>
          <t>R-01</t>
        </is>
      </c>
      <c r="N37" s="6" t="n"/>
      <c r="O37" s="13" t="n"/>
      <c r="P37" s="6" t="inlineStr">
        <is>
          <t>[2026-09-30] Q5：3–6 歲</t>
        </is>
      </c>
    </row>
    <row r="38" ht="46" customHeight="1">
      <c r="A38" s="13" t="inlineStr">
        <is>
          <t>R-06</t>
        </is>
      </c>
      <c r="B38" s="13" t="inlineStr">
        <is>
          <t>R</t>
        </is>
      </c>
      <c r="C38" s="13" t="inlineStr">
        <is>
          <t>2 內測準備</t>
        </is>
      </c>
      <c r="D38" s="6" t="inlineStr">
        <is>
          <t>體驗</t>
        </is>
      </c>
      <c r="E38" s="6" t="inlineStr">
        <is>
          <t>家長自助上手流程</t>
        </is>
      </c>
      <c r="F38" s="13" t="inlineStr">
        <is>
          <t>未開始</t>
        </is>
      </c>
      <c r="G38" s="13" t="inlineStr">
        <is>
          <t>未測試</t>
        </is>
      </c>
      <c r="H38" s="13" t="n"/>
      <c r="I38" s="6" t="inlineStr">
        <is>
          <t>內測家庭要自己安裝；配網、認領、選角色的流程從沒讓非開發者試過。</t>
        </is>
      </c>
      <c r="J38" s="6" t="inlineStr">
        <is>
          <t>firmware-arduino/src/WifiManager.cpp（配網）
frontend-nextjs 認領與設定頁</t>
        </is>
      </c>
      <c r="K38" s="6" t="inlineStr">
        <is>
          <t>家長只看盒內說明，10 分鐘內從開箱到第一次對話。</t>
        </is>
      </c>
      <c r="L38" s="6" t="inlineStr">
        <is>
          <t>找 3 位非團隊成員從零開始，記錄耗時與卡住的步驟；3 人都在 10 分鐘內完成。</t>
        </is>
      </c>
      <c r="M38" s="13" t="inlineStr">
        <is>
          <t>P0-11</t>
        </is>
      </c>
      <c r="N38" s="6" t="n"/>
      <c r="O38" s="13" t="n"/>
      <c r="P38" s="6" t="n"/>
    </row>
    <row r="39" ht="102" customHeight="1">
      <c r="A39" s="13" t="inlineStr">
        <is>
          <t>R-07</t>
        </is>
      </c>
      <c r="B39" s="13" t="inlineStr">
        <is>
          <t>R</t>
        </is>
      </c>
      <c r="C39" s="13" t="inlineStr">
        <is>
          <t>3 封閉內測</t>
        </is>
      </c>
      <c r="D39" s="6" t="inlineStr">
        <is>
          <t>內測</t>
        </is>
      </c>
      <c r="E39" s="6" t="inlineStr">
        <is>
          <t>20 個家庭封閉內測</t>
        </is>
      </c>
      <c r="F39" s="13" t="inlineStr">
        <is>
          <t>未開始</t>
        </is>
      </c>
      <c r="G39" s="13" t="inlineStr">
        <is>
          <t>未測試</t>
        </is>
      </c>
      <c r="H39" s="13" t="n"/>
      <c r="I39" s="6" t="inlineStr">
        <is>
          <t>還不知道孩子會不會持續使用，也不知道真實使用量與每台成本。</t>
        </is>
      </c>
      <c r="J39" s="6" t="inlineStr">
        <is>
          <t>turn_metrics
admin 頁</t>
        </is>
      </c>
      <c r="K39" s="6" t="inlineStr">
        <is>
          <t>20 個家庭使用至少 4 週，每個家庭先簽內測同意書（收集什麼、給誰、保留多久、怎麼刪除）；每週記錄：第 4 週仍每週使用的比例、每次對話輪數、首字延遲 p95、每台每月成本、安全事件數、家長回饋。</t>
        </is>
      </c>
      <c r="L39" s="6" t="inlineStr">
        <is>
          <t>第 4 週結束時出一份內測報告，上面每個指標都有數據。</t>
        </is>
      </c>
      <c r="M39" s="13" t="inlineStr">
        <is>
          <t>R-13</t>
        </is>
      </c>
      <c r="N39" s="6" t="n"/>
      <c r="O39" s="13" t="n"/>
      <c r="P39" s="6" t="inlineStr">
        <is>
          <t>依賴包含第 1、2 階段的全部安全項：P0 沒過不讓真實家庭使用。
[2026-09-30] 新的權限項也要在內測前完成
[2026-10-05] 改為以 CP1（R-13）把關：R-13 已涵蓋原有全部依賴。</t>
        </is>
      </c>
    </row>
    <row r="40" ht="88" customHeight="1">
      <c r="A40" s="13" t="inlineStr">
        <is>
          <t>R-08</t>
        </is>
      </c>
      <c r="B40" s="13" t="inlineStr">
        <is>
          <t>R</t>
        </is>
      </c>
      <c r="C40" s="13" t="inlineStr">
        <is>
          <t>3 封閉內測</t>
        </is>
      </c>
      <c r="D40" s="6" t="inlineStr">
        <is>
          <t>決策</t>
        </is>
      </c>
      <c r="E40" s="6" t="inlineStr">
        <is>
          <t>第 8 週關卡決策</t>
        </is>
      </c>
      <c r="F40" s="13" t="inlineStr">
        <is>
          <t>未開始</t>
        </is>
      </c>
      <c r="G40" s="13" t="inlineStr">
        <is>
          <t>未測試</t>
        </is>
      </c>
      <c r="H40" s="13" t="n"/>
      <c r="I40" s="6" t="inlineStr">
        <is>
          <t>批量數量、定價、是否延期都要用內測數據決定，不能事前拍板。</t>
        </is>
      </c>
      <c r="J40" s="6" t="inlineStr">
        <is>
          <t>R-07 內測報告
P2-09 成本數據</t>
        </is>
      </c>
      <c r="K40" s="6" t="inlineStr">
        <is>
          <t>CP2：11/27 前寫下三個決定及依據：① 出 100 還是 500 台 ② 一次性售價及包含幾年服務（不收月費）③ 是否延期（任何 P0 沒過就不出貨）。同時硬件認證必須已送測（P1-08），量產外殼按決定的數量落單（R-09）。CP2 遲超過 2 週，就要評估新年前交付的風險，並考慮縮減首批數量。</t>
        </is>
      </c>
      <c r="L40" s="6" t="inlineStr">
        <is>
          <t>決策文件經你確認。</t>
        </is>
      </c>
      <c r="M40" s="13" t="inlineStr">
        <is>
          <t>R-07, P2-09, P1-08</t>
        </is>
      </c>
      <c r="N40" s="6" t="n"/>
      <c r="O40" s="13" t="n"/>
      <c r="P40" s="6" t="inlineStr">
        <is>
          <t>[2026-10-05] 2026-10-05：定為 CP2；收費方式已定為一次性付款、不收月費。</t>
        </is>
      </c>
    </row>
    <row r="41" ht="32" customHeight="1">
      <c r="A41" s="13" t="inlineStr">
        <is>
          <t>R-09</t>
        </is>
      </c>
      <c r="B41" s="13" t="inlineStr">
        <is>
          <t>R</t>
        </is>
      </c>
      <c r="C41" s="13" t="inlineStr">
        <is>
          <t>4 量產出貨</t>
        </is>
      </c>
      <c r="D41" s="6" t="inlineStr">
        <is>
          <t>硬件</t>
        </is>
      </c>
      <c r="E41" s="6" t="inlineStr">
        <is>
          <t>量產外殼（真空複模）</t>
        </is>
      </c>
      <c r="F41" s="13" t="inlineStr">
        <is>
          <t>未開始</t>
        </is>
      </c>
      <c r="G41" s="13" t="inlineStr">
        <is>
          <t>未測試</t>
        </is>
      </c>
      <c r="H41" s="13" t="n"/>
      <c r="I41" s="6" t="inlineStr">
        <is>
          <t>100–500 台的外殼：開注塑模具來不及，真空複模通常 2–3 週交貨。</t>
        </is>
      </c>
      <c r="J41" s="6" t="inlineStr">
        <is>
          <t>R-05 的外殼設計</t>
        </is>
      </c>
      <c r="K41" s="6" t="inlineStr">
        <is>
          <t>按 R-08 定的數量下單並驗收；尺寸、按鍵手感、開孔與內測版一致或更好。</t>
        </is>
      </c>
      <c r="L41" s="6" t="inlineStr">
        <is>
          <t>抽檢 10%：裝配、按鍵、聲音、跌落測試。</t>
        </is>
      </c>
      <c r="M41" s="13" t="inlineStr">
        <is>
          <t>R-08, R-05</t>
        </is>
      </c>
      <c r="N41" s="6" t="n"/>
      <c r="O41" s="13" t="n"/>
      <c r="P41" s="6" t="n"/>
    </row>
    <row r="42" ht="46" customHeight="1">
      <c r="A42" s="13" t="inlineStr">
        <is>
          <t>R-10</t>
        </is>
      </c>
      <c r="B42" s="13" t="inlineStr">
        <is>
          <t>R</t>
        </is>
      </c>
      <c r="C42" s="13" t="inlineStr">
        <is>
          <t>4 量產出貨</t>
        </is>
      </c>
      <c r="D42" s="6" t="inlineStr">
        <is>
          <t>生產</t>
        </is>
      </c>
      <c r="E42" s="6" t="inlineStr">
        <is>
          <t>出廠流程</t>
        </is>
      </c>
      <c r="F42" s="13" t="inlineStr">
        <is>
          <t>未開始</t>
        </is>
      </c>
      <c r="G42" s="13" t="inlineStr">
        <is>
          <t>未測試</t>
        </is>
      </c>
      <c r="H42" s="13" t="n"/>
      <c r="I42" s="6" t="inlineStr">
        <is>
          <t>每台出廠都要寫入設備密鑰、開啟 Flash 加密、通過自檢；目前沒有這條流程。</t>
        </is>
      </c>
      <c r="J42" s="6" t="inlineStr">
        <is>
          <t>firmware-arduino/src/AudioSelfTest.cpp
P0-06 的設備密鑰
P0-14 的 Secure Boot／Flash 加密</t>
        </is>
      </c>
      <c r="K42" s="6" t="inlineStr">
        <is>
          <t>一條可重複的出廠腳本：燒韌體 → 寫入密鑰 → 開 Flash 加密 → 自檢（喇叭、麥克風、按鍵、燈、電池、WiFi）→ 登記設備；每台留一行 QC 記錄。</t>
        </is>
      </c>
      <c r="L42" s="6" t="inlineStr">
        <is>
          <t>用腳本連續處理 10 台，全部通過且記錄完整；混入一台壞板，自檢能攔下。</t>
        </is>
      </c>
      <c r="M42" s="13" t="inlineStr">
        <is>
          <t>P0-06, P0-14, R-01</t>
        </is>
      </c>
      <c r="N42" s="6" t="n"/>
      <c r="O42" s="13" t="n"/>
      <c r="P42" s="6" t="n"/>
    </row>
    <row r="43" ht="46" customHeight="1">
      <c r="A43" s="13" t="inlineStr">
        <is>
          <t>R-11</t>
        </is>
      </c>
      <c r="B43" s="13" t="inlineStr">
        <is>
          <t>R</t>
        </is>
      </c>
      <c r="C43" s="13" t="inlineStr">
        <is>
          <t>4 量產出貨</t>
        </is>
      </c>
      <c r="D43" s="6" t="inlineStr">
        <is>
          <t>營運</t>
        </is>
      </c>
      <c r="E43" s="6" t="inlineStr">
        <is>
          <t>售後：客服、保修與換機</t>
        </is>
      </c>
      <c r="F43" s="13" t="inlineStr">
        <is>
          <t>未開始</t>
        </is>
      </c>
      <c r="G43" s="13" t="inlineStr">
        <is>
          <t>未測試</t>
        </is>
      </c>
      <c r="H43" s="13" t="n"/>
      <c r="I43" s="6" t="inlineStr">
        <is>
          <t>設備到了家長手上之後，沒有報修、換機、遠程診斷的流程。</t>
        </is>
      </c>
      <c r="J43" s="6" t="inlineStr">
        <is>
          <t>admin 頁（設備狀態）</t>
        </is>
      </c>
      <c r="K43" s="6" t="inlineStr">
        <is>
          <t>有客服聯絡方式、常見問題、保修條款、換機流程；admin 頁能看到單台設備的最後上線時間、韌體版本和錯誤，協助診斷。</t>
        </is>
      </c>
      <c r="L43" s="6" t="inlineStr">
        <is>
          <t>演練一次：模擬家長報修 → 診斷 → 換機，全程有記錄。</t>
        </is>
      </c>
      <c r="M43" s="13" t="n"/>
      <c r="N43" s="6" t="n"/>
      <c r="O43" s="13" t="n"/>
      <c r="P43" s="6" t="inlineStr">
        <is>
          <t>[2026-09-30] v1 沒有客服角色，售後工具由超級管理員使用（Q9）</t>
        </is>
      </c>
    </row>
    <row r="44" ht="102" customHeight="1">
      <c r="A44" s="13" t="inlineStr">
        <is>
          <t>R-12</t>
        </is>
      </c>
      <c r="B44" s="13" t="inlineStr">
        <is>
          <t>R</t>
        </is>
      </c>
      <c r="C44" s="13" t="inlineStr">
        <is>
          <t>3 封閉內測</t>
        </is>
      </c>
      <c r="D44" s="6" t="inlineStr">
        <is>
          <t>家長控制</t>
        </is>
      </c>
      <c r="E44" s="6" t="inlineStr">
        <is>
          <t>家長控制：每日使用上限和休息時段</t>
        </is>
      </c>
      <c r="F44" s="13" t="inlineStr">
        <is>
          <t>未開始</t>
        </is>
      </c>
      <c r="G44" s="13" t="inlineStr">
        <is>
          <t>未測試</t>
        </is>
      </c>
      <c r="H44" s="13" t="n"/>
      <c r="I44" s="6" t="inlineStr">
        <is>
          <t>3–6 歲孩子的家長最在意每天用多久、睡覺時間玩具會不會還在說話；目前沒有任何使用時間限制，任何時候按鍵玩具都會回應。</t>
        </is>
      </c>
      <c r="J44" s="6" t="inlineStr">
        <is>
          <t>frontend-nextjs/app/components/Settings/（家長設定頁）
server/fastapi/server.py（/ws/esp32 開始 session 處）
users 表或新表（設定與每日用量）</t>
        </is>
      </c>
      <c r="K44" s="6" t="inlineStr">
        <is>
          <t>家長在設定頁設定每日上限（分鐘）與休息時段（例如 20:00–07:00），按孩子所在地區的時區計算；由伺服器端執行，韌體繞不過；到了上限或在休息時段內，玩具用一句溫和的話說明（例如「而家係休息時間，聽日再傾啦」）就結束，不進入對話；對話中途到了上限，說完當前這句再溫和收尾；家長看得到今天已用多少分鐘。</t>
        </is>
      </c>
      <c r="L44" s="6" t="inlineStr">
        <is>
          <t>① 上限設 5 分鐘，超過後新一輪被婉拒，跨過午夜後自動恢復
② 休息時段內按鍵，玩具只說提示語，沒有任何內容送到 LLM
③ 改了設定不用重開機，下一次按鍵就生效
④ 直接連 /ws/esp32 也繞不過（檢查在伺服器端）</t>
        </is>
      </c>
      <c r="M44" s="13" t="n"/>
      <c r="N44" s="6" t="n"/>
      <c r="O44" s="13" t="n"/>
      <c r="P44" s="6" t="inlineStr">
        <is>
          <t>[2026-09-30] 新增：用戶同意加入。「單按說話」模式暫不加入，等 R-05 的 3 歲試用結果再決定。</t>
        </is>
      </c>
    </row>
    <row r="45" ht="270" customHeight="1">
      <c r="A45" s="13" t="inlineStr">
        <is>
          <t>P0-15</t>
        </is>
      </c>
      <c r="B45" s="13" t="inlineStr">
        <is>
          <t>P0</t>
        </is>
      </c>
      <c r="C45" s="13" t="inlineStr">
        <is>
          <t>1 止血定案</t>
        </is>
      </c>
      <c r="D45" s="6" t="inlineStr">
        <is>
          <t>安全-權限</t>
        </is>
      </c>
      <c r="E45" s="6" t="inlineStr">
        <is>
          <t>角色表權限：只有內容管理員能發佈，關閉家長自建角色</t>
        </is>
      </c>
      <c r="F45" s="13" t="inlineStr">
        <is>
          <t>進行中</t>
        </is>
      </c>
      <c r="G45" s="13" t="inlineStr">
        <is>
          <t>部分通過</t>
        </is>
      </c>
      <c r="H45" s="13" t="n"/>
      <c r="I45" s="6" t="inlineStr">
        <is>
          <t>personalities 表的 INSERT policy 是 WITH CHECK (true)，anon 與 authenticated 也有全部表權限：任何登入用戶都能插入一個沒有建立者的角色，它會出現在所有孩子的角色列表。家長也能在 /home/create 自建角色（v1 決定關閉，見 Q6）。</t>
        </is>
      </c>
      <c r="J45" s="6" t="inlineStr">
        <is>
          <t>supabase/migrations/20250417155518_remote_schema.sql:426
frontend-nextjs/db/personalities.ts:44, :81
frontend-nextjs/app/home/create/</t>
        </is>
      </c>
      <c r="K45" s="6" t="inlineStr">
        <is>
          <t>只有內容管理員或超級管理員（has_role）能新增、修改、下架角色；anon 與家長只能讀取已發佈（is_hidden=false）的內建角色，以及家長自己建立的角色；/home/create 入口撤下，不再接受新的家長自建角色；現有家長自建角色暫時保留可用，資料不動。</t>
        </is>
      </c>
      <c r="L45" s="6" t="inlineStr">
        <is>
          <t>① 家長 JWT 直接 POST /rest/v1/personalities 被拒
② anon 與家長讀不到隱藏角色或別人自建的角色
③ 內容管理員在 /admin 新增、修改、下架角色成功
④ 訪問 /home/create 回 404 或被轉走</t>
        </is>
      </c>
      <c r="M45" s="13" t="inlineStr">
        <is>
          <t>P0-12</t>
        </is>
      </c>
      <c r="N45" s="6" t="inlineStr">
        <is>
          <t>② 本機 psql SET ROLE（交易後 ROLLBACK）：anon 見已發佈內建 6、隱藏 0、家長自建 0；家長 A 見自己的角色（含隱藏的自己的）、不見 B 的、不見 40 個隱藏內建；內容管理員 aal2 見 40 個隱藏內建、不見 B 的角色。①③ 先前已過。④ /home/create 仍是 redirect /home，這次沒在瀏覽器重測。</t>
        </is>
      </c>
      <c r="O45" s="13" t="inlineStr">
        <is>
          <t>1d65398</t>
        </is>
      </c>
      <c r="P45" s="6" t="inlineStr">
        <is>
          <t>[2026-09-30] 新增
[2026-10-07] 分支 lock-character-writes（65ddb31 RLS、f3aafdd 撤 /home/create），未 merge、未套用到生產
[2026-10-07] 2026-10-07 用戶決定：現有家長自建角色暫時保留，不設為隱藏，驗收標準相應修改
[2026-10-07] 2026-10-07 已 merge 進 modes-and-ips（55df0a1）；③ 經 P0-12 本機驗證：內容管理員 aal2 經 /admin 新增、修改、下架內建角色成功。② 仍未做
[2026-10-07] 2026-10-07 migration 20261007190000 已在本機套用，未部署。家長自己建立的角色（含 is_hidden）仍可讀，符合驗收「自己建立的角色」；讀不到的是隱藏內建與別人自建。</t>
        </is>
      </c>
    </row>
    <row r="46" ht="256" customHeight="1">
      <c r="A46" s="13" t="inlineStr">
        <is>
          <t>P0-16</t>
        </is>
      </c>
      <c r="B46" s="13" t="inlineStr">
        <is>
          <t>P0</t>
        </is>
      </c>
      <c r="C46" s="13" t="inlineStr">
        <is>
          <t>1 止血定案</t>
        </is>
      </c>
      <c r="D46" s="6" t="inlineStr">
        <is>
          <t>安全-Web</t>
        </is>
      </c>
      <c r="E46" s="6" t="inlineStr">
        <is>
          <t>移除「醫生」身份與寫死的通關碼</t>
        </is>
      </c>
      <c r="F46" s="13" t="inlineStr">
        <is>
          <t>進行中</t>
        </is>
      </c>
      <c r="G46" s="13" t="inlineStr">
        <is>
          <t>通過</t>
        </is>
      </c>
      <c r="H46" s="13" t="n"/>
      <c r="I46" s="6" t="inlineStr">
        <is>
          <t>上游遺留的「醫生」模式：user_info.user_type 設成 doctor 就會顯示醫療角色和不同的首頁，開通方式是一個寫死在程式碼裡、瀏覽器可以呼叫的通關碼檢查。</t>
        </is>
      </c>
      <c r="J46" s="6" t="inlineStr">
        <is>
          <t>frontend-nextjs/app/actions.ts:124
frontend-nextjs/app/components/Playground/PlaygroundComponent.tsx:40
frontend-nextjs/app/components/Settings/AppSettings.tsx:51
frontend-nextjs/app/components/Nav/LeftNavbarButtons.tsx:11
frontend-nextjs/app/components/HomePageSubtitles.tsx:13</t>
        </is>
      </c>
      <c r="K46" s="6" t="inlineStr">
        <is>
          <t>移除 checkDoctorAction 和所有 doctor 身份的分支；程式碼裡沒有任何通關碼；is_doctor 角色隱藏（配合 R-02）。</t>
        </is>
      </c>
      <c r="L46" s="6" t="inlineStr">
        <is>
          <t>① grep 找不到 checkDoctorAction，也找不到以 user_type 判斷 doctor 的程式碼
② 前端 tsc 與 lint 通過
③ 首頁、設定頁、角色列表正常</t>
        </is>
      </c>
      <c r="M46" s="13" t="n"/>
      <c r="N46" s="6" t="inlineStr">
        <is>
          <t>① grep checkDoctorAction/kiwi-subtle-emu/=== "doctor" → 0（以 staged 內容的乾淨 worktree 驗證）② tsc 通過；eslint(next/core-web-vitals) 改動檔 0 error（4 個 warning 為原有 hook 依賴）③ 本機新帳號實測：首頁只剩 Story/Children、無醫療/Santa/patient 字樣；onboarding 保存→ users 已更新、PATCH 204；設定頁正常。migration 20261007160000 本機：4 個 is_doctor 內建角色 is_hidden=true，authenticated UPDATE 欄位不再含 user_info</t>
        </is>
      </c>
      <c r="O46" s="13" t="inlineStr">
        <is>
          <t>3897269</t>
        </is>
      </c>
      <c r="P46" s="6" t="inlineStr">
        <is>
          <t>[2026-09-30] 新增
[2026-10-07] 2026-10-07：P0-04 的 migration 讓 authenticated 仍可改 users.user_info，只因 Onboarding/AppSettings 還在那裡寫 doctor 身份；移除 doctor 後，同時從 GRANT UPDATE 拿掉 user_info。
[2026-10-07] 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47" ht="60" customHeight="1">
      <c r="A47" s="13" t="inlineStr">
        <is>
          <t>P1-09</t>
        </is>
      </c>
      <c r="B47" s="13" t="inlineStr">
        <is>
          <t>P1</t>
        </is>
      </c>
      <c r="C47" s="13" t="inlineStr">
        <is>
          <t>2 內測準備</t>
        </is>
      </c>
      <c r="D47" s="6" t="inlineStr">
        <is>
          <t>兒童安全</t>
        </is>
      </c>
      <c r="E47" s="6" t="inlineStr">
        <is>
          <t>家長鎖：孩子模式進設定要輸入 PIN</t>
        </is>
      </c>
      <c r="F47" s="13" t="inlineStr">
        <is>
          <t>未開始</t>
        </is>
      </c>
      <c r="G47" s="13" t="inlineStr">
        <is>
          <t>未測試</t>
        </is>
      </c>
      <c r="H47" s="13" t="n"/>
      <c r="I47" s="6" t="inlineStr">
        <is>
          <t>/home 的 playground 是給孩子在家長手機上用的，但設定頁沒有任何阻擋：孩子能自己解綁設備、刪記憶、改家長控制。</t>
        </is>
      </c>
      <c r="J47" s="6" t="inlineStr">
        <is>
          <t>frontend-nextjs/app/home/（playground 與 settings）</t>
        </is>
      </c>
      <c r="K47" s="6" t="inlineStr">
        <is>
          <t>從孩子模式進入設定、家長控制、記憶、設備頁面前，都要先輸入家長 PIN（第一次使用時設定）；連錯 5 次鎖定 5 分鐘；忘記 PIN 可用帳號密碼重設。</t>
        </is>
      </c>
      <c r="L47" s="6" t="inlineStr">
        <is>
          <t>① 孩子模式下點設定，沒有 PIN 進不去
② 連錯 5 次後鎖定
③ 用帳號密碼重設 PIN 成功</t>
        </is>
      </c>
      <c r="M47" s="13" t="n"/>
      <c r="N47" s="6" t="n"/>
      <c r="O47" s="13" t="n"/>
      <c r="P47" s="6" t="inlineStr">
        <is>
          <t>[2026-09-30] 新增：這是防孩子誤觸，不是安全邊界；真正的權限仍在伺服器與資料庫。</t>
        </is>
      </c>
    </row>
    <row r="48" ht="60" customHeight="1">
      <c r="A48" s="13" t="inlineStr">
        <is>
          <t>P1-10</t>
        </is>
      </c>
      <c r="B48" s="13" t="inlineStr">
        <is>
          <t>P1</t>
        </is>
      </c>
      <c r="C48" s="13" t="inlineStr">
        <is>
          <t>2 內測準備</t>
        </is>
      </c>
      <c r="D48" s="6" t="inlineStr">
        <is>
          <t>安全-權限</t>
        </is>
      </c>
      <c r="E48" s="6" t="inlineStr">
        <is>
          <t>管理操作審計記錄</t>
        </is>
      </c>
      <c r="F48" s="13" t="inlineStr">
        <is>
          <t>未開始</t>
        </is>
      </c>
      <c r="G48" s="13" t="inlineStr">
        <is>
          <t>未測試</t>
        </is>
      </c>
      <c r="H48" s="13" t="n"/>
      <c r="I48" s="6" t="inlineStr">
        <is>
          <t>管理員改模型、改角色、動設備都沒有記錄；出了問題查不到是誰、什麼時候、改了什麼。</t>
        </is>
      </c>
      <c r="J48" s="6" t="inlineStr">
        <is>
          <t>新表 admin_audit_log
frontend-nextjs/app/home/admin/actions.ts（之後搬到 /admin）</t>
        </is>
      </c>
      <c r="K48" s="6" t="inlineStr">
        <is>
          <t>每個管理操作寫一筆記錄：誰、什麼時間、什麼操作、對象、改之前與改之後的值；記錄只能新增，任何人（包括超級管理員）都不能修改或刪除；超級管理員能在管理端查看。</t>
        </is>
      </c>
      <c r="L48" s="6" t="inlineStr">
        <is>
          <t>① 改一個角色、改一次模型設定，審計表各出現一筆，前後值正確
② 用超級管理員 JWT 嘗試 UPDATE／DELETE 審計記錄被拒</t>
        </is>
      </c>
      <c r="M48" s="13" t="inlineStr">
        <is>
          <t>P0-12</t>
        </is>
      </c>
      <c r="N48" s="6" t="n"/>
      <c r="O48" s="13" t="n"/>
      <c r="P48" s="6" t="inlineStr">
        <is>
          <t>[2026-09-30] 新增</t>
        </is>
      </c>
    </row>
    <row r="49" ht="60" customHeight="1">
      <c r="A49" s="13" t="inlineStr">
        <is>
          <t>P1-11</t>
        </is>
      </c>
      <c r="B49" s="13" t="inlineStr">
        <is>
          <t>P1</t>
        </is>
      </c>
      <c r="C49" s="13" t="inlineStr">
        <is>
          <t>2 內測準備</t>
        </is>
      </c>
      <c r="D49" s="6" t="inlineStr">
        <is>
          <t>私隱</t>
        </is>
      </c>
      <c r="E49" s="6" t="inlineStr">
        <is>
          <t>伺服器與資料庫直接存取的管控</t>
        </is>
      </c>
      <c r="F49" s="13" t="inlineStr">
        <is>
          <t>未開始</t>
        </is>
      </c>
      <c r="G49" s="13" t="inlineStr">
        <is>
          <t>未測試</t>
        </is>
      </c>
      <c r="H49" s="13" t="n"/>
      <c r="I49" s="6" t="inlineStr">
        <is>
          <t>網頁管理端看不到兒童資料（Q7），但能 SSH 上伺服器或直連資料庫的人仍然看得到；目前沒有名單，也沒有規則。</t>
        </is>
      </c>
      <c r="J49" s="6" t="inlineStr">
        <is>
          <t>生產伺服器（elatoai.hkqft.com）
自架 Supabase</t>
        </is>
      </c>
      <c r="K49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L49" s="6" t="inlineStr">
        <is>
          <t>① 名單經你確認
② 私隱政策有對應段落（配合 P1-04）
③ 前端 bundle 與 repo 裡找不到 service_role key</t>
        </is>
      </c>
      <c r="M49" s="13" t="n"/>
      <c r="N49" s="6" t="n"/>
      <c r="O49" s="13" t="n"/>
      <c r="P49" s="6" t="inlineStr">
        <is>
          <t>[2026-09-30] 新增</t>
        </is>
      </c>
    </row>
    <row r="50" ht="228" customHeight="1">
      <c r="A50" s="13" t="inlineStr">
        <is>
          <t>R-13</t>
        </is>
      </c>
      <c r="B50" s="13" t="inlineStr">
        <is>
          <t>R</t>
        </is>
      </c>
      <c r="C50" s="13" t="inlineStr">
        <is>
          <t>2 內測準備</t>
        </is>
      </c>
      <c r="D50" s="6" t="inlineStr">
        <is>
          <t>決策</t>
        </is>
      </c>
      <c r="E50" s="6" t="inlineStr">
        <is>
          <t>CP1 內測就緒檢查（10/30）</t>
        </is>
      </c>
      <c r="F50" s="13" t="inlineStr">
        <is>
          <t>未開始</t>
        </is>
      </c>
      <c r="G50" s="13" t="inlineStr">
        <is>
          <t>未測試</t>
        </is>
      </c>
      <c r="I50" s="6" t="inlineStr">
        <is>
          <t>內測至少要 4 週才有可信數據；CP1 每遲一週，整條線就遲一週，用掉 12/26 到 1/15 之間約 3 週的緩衝。</t>
        </is>
      </c>
      <c r="J50" s="6" t="inlineStr">
        <is>
          <t>本追蹤表（R-07 的依賴）</t>
        </is>
      </c>
      <c r="K50" s="6" t="inlineStr">
        <is>
          <t>10/30 前，R-07 所列的全部依賴都已完成並測試通過；寫下 go／no-go 決定。未通過時記錄預計延遲幾週、用掉多少緩衝；延遲超過 1 週要說明如何追回。</t>
        </is>
      </c>
      <c r="L50" s="6" t="inlineStr">
        <is>
          <t>① tracker status：R-07 的依賴全部為已完成或不適用 ② go／no-go 決定經你確認</t>
        </is>
      </c>
      <c r="M50" s="13" t="inlineStr">
        <is>
          <t>P0-02, P0-03, P0-04, P0-05, P0-06, P0-07, P0-08, P0-09, P0-10, P0-11, P0-12, P0-13, P1-01, P1-02, P2-09, R-01, R-02, R-04, R-05, R-06, P0-15, P0-16, P1-09, P1-11</t>
        </is>
      </c>
      <c r="P50" s="6" t="inlineStr">
        <is>
          <t>[2026-10-05] 新增：2026-10-05 定：兩個 checkpoint 為 10/30（CP1）與 11/27（CP2＝R-08）；硬底線是農曆新年（2027-02-06）前交付。</t>
        </is>
      </c>
    </row>
    <row r="51" ht="74" customHeight="1">
      <c r="A51" s="13" t="inlineStr">
        <is>
          <t>R-14</t>
        </is>
      </c>
      <c r="B51" s="13" t="inlineStr">
        <is>
          <t>R</t>
        </is>
      </c>
      <c r="C51" s="13" t="inlineStr">
        <is>
          <t>3 封閉內測</t>
        </is>
      </c>
      <c r="D51" s="6" t="inlineStr">
        <is>
          <t>內容</t>
        </is>
      </c>
      <c r="E51" s="6" t="inlineStr">
        <is>
          <t>離線兒歌與故事</t>
        </is>
      </c>
      <c r="F51" s="13" t="inlineStr">
        <is>
          <t>未開始</t>
        </is>
      </c>
      <c r="G51" s="13" t="inlineStr">
        <is>
          <t>未測試</t>
        </is>
      </c>
      <c r="I51" s="6" t="inlineStr">
        <is>
          <t>3–6 歲孩子很多時候只想聽歌、聽故事；放在裝置上播放零雲端成本、斷網也能用。風險：錄音與故事的版權（只用自製或已取得授權的內容）、Flash 容量、播放手勢不能和現有按鍵操作衝突。</t>
        </is>
      </c>
      <c r="J51" s="6" t="inlineStr">
        <is>
          <t>firmware-arduino/src（Audio.cpp、Chime.cpp 的本地播放路徑）
firmware-arduino/platformio.ini（分區表）
內容來源與授權記錄</t>
        </is>
      </c>
      <c r="K51" s="6" t="inlineStr">
        <is>
          <t>裝置上存有至少 10 首粵語兒歌和 5 個粵語故事；斷網也能播放；用一個不和現有操作衝突的按鍵手勢開始、停止、切換；音量鍵照常有效；每項內容都有來源與授權記錄（自製或已授權）。內測期間可經 OTA 加入內測機。</t>
        </is>
      </c>
      <c r="L51" s="6" t="inlineStr">
        <is>
          <t>① 關掉 Wi-Fi，用手勢逐一播放，全部內容可完整播完 ② 播放中停止、切換、調音量都即時生效 ③ 播放後照常可以按鍵對話 ④ 授權記錄表每項都有來源 ⑤ 內測期間記錄各家庭的播放次數</t>
        </is>
      </c>
      <c r="M51" s="13" t="inlineStr">
        <is>
          <t>R-01</t>
        </is>
      </c>
      <c r="P51" s="6" t="inlineStr">
        <is>
          <t>[2026-10-05] 新增：2026-10-05 決定：V1.0 只加這一項新功能；「家長每日摘要」移到 V1.1，不在本表範圍。</t>
        </is>
      </c>
    </row>
    <row r="52" ht="60" customHeight="1">
      <c r="A52" s="13" t="inlineStr">
        <is>
          <t>R-15</t>
        </is>
      </c>
      <c r="B52" s="13" t="inlineStr">
        <is>
          <t>R</t>
        </is>
      </c>
      <c r="C52" s="13" t="inlineStr">
        <is>
          <t>4 量產出貨</t>
        </is>
      </c>
      <c r="D52" s="6" t="inlineStr">
        <is>
          <t>交付</t>
        </is>
      </c>
      <c r="E52" s="6" t="inlineStr">
        <is>
          <t>農曆新年前交付（生產 1/15、送達 1/29）</t>
        </is>
      </c>
      <c r="F52" s="13" t="inlineStr">
        <is>
          <t>未開始</t>
        </is>
      </c>
      <c r="G52" s="13" t="inlineStr">
        <is>
          <t>未測試</t>
        </is>
      </c>
      <c r="I52" s="6" t="inlineStr">
        <is>
          <t>2027 年農曆新年是 2/6，內地工廠一般提前約兩週停工；1 月中生產未完成，就可能拖到 2 月底甚至 3 月，遲幾週會變成遲兩個月。</t>
        </is>
      </c>
      <c r="J52" s="6" t="inlineStr">
        <is>
          <t>R-08 決定的數量
R-09 量產外殼
R-10 出廠流程</t>
        </is>
      </c>
      <c r="K52" s="6" t="inlineStr">
        <is>
          <t>12/26 為內部目標；R-08 決定的全部數量最遲 1/15 生產完成，1/29 前全部送達家庭。1/15 未能全部完成時，先交付已完成的部分，其餘新年後補發，並通知相關家庭。</t>
        </is>
      </c>
      <c r="L52" s="6" t="inlineStr">
        <is>
          <t>① 生產記錄：完成日期 ≤ 1/15，數量等於 R-08 決定的數量 ② 送貨或簽收記錄：全部日期 ≤ 1/29</t>
        </is>
      </c>
      <c r="M52" s="13" t="inlineStr">
        <is>
          <t>R-09, R-10</t>
        </is>
      </c>
      <c r="P52" s="6" t="inlineStr">
        <is>
          <t>[2026-10-05] 新增</t>
        </is>
      </c>
    </row>
    <row r="53" ht="270" customHeight="1">
      <c r="A53" s="13" t="inlineStr">
        <is>
          <t>R-16</t>
        </is>
      </c>
      <c r="B53" s="13" t="inlineStr">
        <is>
          <t>R</t>
        </is>
      </c>
      <c r="C53" s="13" t="inlineStr">
        <is>
          <t>1 止血定案</t>
        </is>
      </c>
      <c r="D53" s="6" t="inlineStr">
        <is>
          <t>硬件</t>
        </is>
      </c>
      <c r="E53" s="6" t="inlineStr">
        <is>
          <t>Spotpear 量產版加電池電壓檢測（GPIO0 分壓）</t>
        </is>
      </c>
      <c r="F53" s="13" t="inlineStr">
        <is>
          <t>阻塞</t>
        </is>
      </c>
      <c r="G53" s="13" t="inlineStr">
        <is>
          <t>未測試</t>
        </is>
      </c>
      <c r="I53" s="6" t="inlineStr">
        <is>
          <t>Spotpear AI Toy 裝了電池但讀不到電量：C3 能做 ADC 的腳 GPIO0–5 全被佔用，原廠固件也沒有電量代碼。家長不知道何時要充電，評分表③無法通過。量產改板要趁早向廠家提。</t>
        </is>
      </c>
      <c r="J53" s="6" t="inlineStr">
        <is>
          <t>firmware-arduino/BOARDS.md（Battery sense for the production board）；firmware-arduino/src/Config.cpp；firmware-arduino/src/Battery.cpp</t>
        </is>
      </c>
      <c r="K53" s="6" t="inlineStr">
        <is>
          <t>Spotpear 書面確認量產版：GPIO0（或 GPIO1）接電芯正極（保護 IC 之後）100k/100k 分壓、100nF 濾波，屏幕不接該腳；最好另把充電芯片 CHRG 接到 GPIO12 或 13。樣板到手後，固件讀到的電芯電壓與萬用表相差 ≤50mV。</t>
        </is>
      </c>
      <c r="L53" s="6" t="inlineStr">
        <is>
          <t>① 取得 Spotpear 的書面確認或改板原理圖 ② 樣板上 3 個電壓點（約 3.5V、3.8V、4.1V）同時量萬用表與固件 log 的毫伏值，誤差都 ≤50mV ③ 插 USB 充電時讀數仍是電芯電壓，不是 5V</t>
        </is>
      </c>
      <c r="M53" s="13" t="n"/>
      <c r="P53" s="6" t="inlineStr">
        <is>
          <t>[2026-10-05] 新增
[2026-10-06] 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
[2026-10-07] 仍按 10/06 決定暫緩：等用戶做充滿再放電測試（與 R-17 同一次），看 VDD 低電提醒在關機前多久觸發；太遲或不觸發才向 Spotpear 提改板。已把分壓改板的問題一併放進給 Spotpear 的草稿，方便同一封發出</t>
        </is>
      </c>
    </row>
    <row r="54" ht="200" customHeight="1">
      <c r="A54" s="13" t="inlineStr">
        <is>
          <t>R-17</t>
        </is>
      </c>
      <c r="B54" s="13" t="inlineStr">
        <is>
          <t>R</t>
        </is>
      </c>
      <c r="C54" s="13" t="inlineStr">
        <is>
          <t>1 止血定案</t>
        </is>
      </c>
      <c r="D54" s="6" t="inlineStr">
        <is>
          <t>硬件</t>
        </is>
      </c>
      <c r="E54" s="6" t="inlineStr">
        <is>
          <t>Spotpear 電池耗盡時插電能否正常開機（供電路徑）</t>
        </is>
      </c>
      <c r="F54" s="13" t="inlineStr">
        <is>
          <t>阻塞</t>
        </is>
      </c>
      <c r="G54" s="13" t="inlineStr">
        <is>
          <t>未測試</t>
        </is>
      </c>
      <c r="I54" s="6" t="inlineStr">
        <is>
          <t>裝著沒電的電池插 USB 時，芯片電壓只有純 USB 供電時的 98–99%，說明系統從電池端取電；電池耗盡時板子要等幾分鐘到半小時才出現在 USB 上，還有一次燒錄寫到一半掉電。家長給沒電的玩具插上充電，玩具卻沒有反應或反覆重啟，會以為壞了。</t>
        </is>
      </c>
      <c r="J54" s="6" t="inlineStr">
        <is>
          <t>firmware-arduino/BOARDS.md（Low-battery reminder without battery sense 的 Power path 一段）</t>
        </is>
      </c>
      <c r="K54" s="6" t="inlineStr">
        <is>
          <t>向 Spotpear 確認充電芯片型號、充電電流，以及有沒有負載分擔（power path）。電池完全耗盡後插上 USB，玩具在 2 分鐘內能正常開機並對話；不行的話，要有改板或固件緩解方案（例如掉電重啟後先深睡充電），並寫進說明書。</t>
        </is>
      </c>
      <c r="L54" s="6" t="inlineStr">
        <is>
          <t>① 取得 Spotpear 的充電電路說明 ② 把電池用到自動關機，插 USB 計時，看幾分鐘後開機並能對話；串口日誌確認沒有反覆 brownout 重啟 ③ 開機後插著用 30 分鐘，運行記錄讀數持續回升到 100%（證明邊用邊充）</t>
        </is>
      </c>
      <c r="M54" s="13" t="n"/>
      <c r="P54" s="6" t="inlineStr">
        <is>
          <t>[2026-10-06] 新增
[2026-10-07] 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</t>
        </is>
      </c>
    </row>
    <row r="55" ht="102" customHeight="1">
      <c r="A55" s="13" t="inlineStr">
        <is>
          <t>P0-17</t>
        </is>
      </c>
      <c r="B55" s="13" t="inlineStr">
        <is>
          <t>P0</t>
        </is>
      </c>
      <c r="C55" s="13" t="inlineStr">
        <is>
          <t>1 止血定案</t>
        </is>
      </c>
      <c r="D55" s="6" t="inlineStr">
        <is>
          <t>安全-設定</t>
        </is>
      </c>
      <c r="E55" s="6" t="inlineStr">
        <is>
          <t>前端的 anon key 必須是公開 key，不可是 secret／service_role</t>
        </is>
      </c>
      <c r="F55" s="13" t="inlineStr">
        <is>
          <t>進行中</t>
        </is>
      </c>
      <c r="G55" s="13" t="inlineStr">
        <is>
          <t>部分通過</t>
        </is>
      </c>
      <c r="I55" s="6" t="inlineStr">
        <is>
          <t>本機 frontend-nextjs/.env.local 的 NEXT_PUBLIC_SUPABASE_ANON_KEY 是 sb_secret_ 開頭的 secret key（等同 service_role）。NEXT_PUBLIC_ 變數會打包進瀏覽器 JS，若線上也這樣設定，任何人都能從網頁拿到可繞過所有 RLS 的 key，P0-02～P0-05 全部失效。線上 .env.production 尚未查證。</t>
        </is>
      </c>
      <c r="J55" s="6" t="inlineStr">
        <is>
          <t>frontend-nextjs/.env.local；線上 frontend-nextjs/.env.production（host aibuddy-dev）</t>
        </is>
      </c>
      <c r="K55" s="6" t="inlineStr">
        <is>
          <t>本機與線上的 NEXT_PUBLIC_SUPABASE_ANON_KEY 都是 sb_publishable_ 開頭或 role=anon 的 JWT；瀏覽器 JS bundle 裡沒有 sb_secret_，也沒有 role=service_role 的 JWT；若線上曾外洩 secret key，已輪換。</t>
        </is>
      </c>
      <c r="L55" s="6" t="inlineStr">
        <is>
          <t>① 抓線上首頁引用的 /_next/static JS，grep sb_secret_ 為 0；其中 eyJ 開頭的 key 解碼後 role=anon ② 用 bundle 裡的 key GET /rest/v1/users → 42501 或 0 行 ③ 本機 .env.local 同樣檢查</t>
        </is>
      </c>
      <c r="M55" s="13" t="n"/>
      <c r="N55" s="6" t="inlineStr">
        <is>
          <t>① 線上 /login 引用的 12 個 JS + HTML：無 sb_secret_，唯一的 key 是 role=anon 的 JWT ③ 本機 .env.local 原為 sb_secret_（已備份 .env.local.bak-p017），換成 kong 的 sb_publishable_ 後 anon GET /rest/v1/users → 42501。② 未做：線上 RLS 尚未套用，現在讀 users 會讀到全部家庭資料</t>
        </is>
      </c>
      <c r="P55" s="6" t="inlineStr">
        <is>
          <t>[2026-10-07] 新增
[2026-10-07] 2026-10-07：線上沒有外洩 secret key，無需輪換。② 要等 P0-02～P0-05 的 migration 在線上套用後再測。</t>
        </is>
      </c>
    </row>
    <row r="56" ht="172" customHeight="1">
      <c r="A56" s="13" t="inlineStr">
        <is>
          <t>P2-10</t>
        </is>
      </c>
      <c r="B56" s="13" t="inlineStr">
        <is>
          <t>P2</t>
        </is>
      </c>
      <c r="C56" s="13" t="inlineStr">
        <is>
          <t>1 止血定案</t>
        </is>
      </c>
      <c r="D56" s="6" t="inlineStr">
        <is>
          <t>工程</t>
        </is>
      </c>
      <c r="E56" s="6" t="inlineStr">
        <is>
          <t>DeepSeek v4 flash 經 OpenRouter 時固定可用的供應商</t>
        </is>
      </c>
      <c r="F56" s="13" t="inlineStr">
        <is>
          <t>進行中</t>
        </is>
      </c>
      <c r="G56" s="13" t="inlineStr">
        <is>
          <t>部分通過</t>
        </is>
      </c>
      <c r="I56" s="6" t="inlineStr">
        <is>
          <t>OpenRouter 按延遲自動挑供應商，2026-10-07 實測 DeepSeek v4 flash：DeepInfra 回傳字面 &lt;｜end▁of▁sentence｜&gt;（玩具會唸出來），Venice、Parasail 回空內容（該輪無聲）。線上若用 DeepSeek，孩子會隨機遇到。</t>
        </is>
      </c>
      <c r="J56" s="6" t="inlineStr">
        <is>
          <t>app_settings.voice_stack（provider_order、reasoning_effort）；server/fastapi/models/llm/openrouter.py</t>
        </is>
      </c>
      <c r="K56" s="6" t="inlineStr">
        <is>
          <t>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L56" s="6" t="inlineStr">
        <is>
          <t>① 對 provider_order 裡每個供應商各發 20 次真實 session prompt（含開場白），0 次空內容、0 次 end▁of▁sentence ② 實機開 5 次對話，開場白都正常播出</t>
        </is>
      </c>
      <c r="M56" s="13" t="n"/>
      <c r="N56" s="6" t="inlineStr">
        <is>
          <t>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</t>
        </is>
      </c>
      <c r="O56" s="13" t="inlineStr">
        <is>
          <t>58bc82b</t>
        </is>
      </c>
      <c r="P56" s="6" t="inlineStr">
        <is>
          <t>[2026-10-07] 新增
[2026-10-07] 2026-10-07 58bc82b（分支 p2-10-provider-pinning，未合併、未部署）。上線後在管理頁設 provider_order=azure,alibaba,novita,siliconflow,gmicloud（或繼續用 gemma）。Azure 20 次中 1 次把孩子叫成「小柔」（prompt 無此名），屬模型偶發，非供應商問題</t>
        </is>
      </c>
    </row>
    <row r="57" ht="102" customHeight="1">
      <c r="A57" s="13" t="inlineStr">
        <is>
          <t>P2-11</t>
        </is>
      </c>
      <c r="B57" s="13" t="inlineStr">
        <is>
          <t>P2</t>
        </is>
      </c>
      <c r="C57" s="13" t="inlineStr">
        <is>
          <t>2 內測準備</t>
        </is>
      </c>
      <c r="D57" s="6" t="inlineStr">
        <is>
          <t>工程</t>
        </is>
      </c>
      <c r="E57" s="6" t="inlineStr">
        <is>
          <t>C3 播放時 async_tcp 觸發任務看門狗重啟</t>
        </is>
      </c>
      <c r="F57" s="13" t="inlineStr">
        <is>
          <t>未開始</t>
        </is>
      </c>
      <c r="G57" s="13" t="inlineStr">
        <is>
          <t>未測試</t>
        </is>
      </c>
      <c r="I57" s="6" t="inlineStr">
        <is>
          <t>AsyncTCP 在 ESP32 預設把 async_tcp task 加入 5 秒任務看門狗（CONFIG_ASYNC_TCP_USE_WDT=1）。C3 單核，播開場白時 Opus Decode 連續佔用 CPU，async_tcp 超過 5 秒輪不到 → abort 重啟。2026-10-08 開發板實測出現一次（播開場白第 5 秒）。孩子聽回覆時玩具會突然重啟；落在 OTA 試用期內時，好版本會被回滾並記為失敗</t>
        </is>
      </c>
      <c r="J57" s="6" t="inlineStr">
        <is>
          <t>firmware-arduino/platformio.ini（AsyncTCP 3.5.0）；src/Audio.cpp decodeTask 優先級與讓出</t>
        </is>
      </c>
      <c r="K57" s="6" t="inlineStr">
        <is>
          <t>C3 env 不再因 async_tcp 觸發看門狗：關閉 AsyncTCP 的 WDT 訂閱（-D CONFIG_ASYNC_TCP_USE_WDT=0）或讓解碼 task 定期讓出 CPU；播放與 SoftAP 配網都仍正常</t>
        </is>
      </c>
      <c r="L57" s="6" t="inlineStr">
        <is>
          <t>① Spotpear 開發板連續開機 30 次並播完開場白、再進行 20 輪對話，串口 0 次 task_wdt ② SoftAP 配網頁面仍能打開並保存 WiFi</t>
        </is>
      </c>
      <c r="M57" s="13" t="n"/>
      <c r="P57" s="6" t="inlineStr">
        <is>
          <t>[2026-10-08] 新增</t>
        </is>
      </c>
    </row>
  </sheetData>
  <autoFilter ref="A1:P57"/>
  <conditionalFormatting sqref="F2:F1000">
    <cfRule type="cellIs" priority="1" operator="equal" dxfId="0">
      <formula>"已完成"</formula>
    </cfRule>
    <cfRule type="cellIs" priority="2" operator="equal" dxfId="1">
      <formula>"進行中"</formula>
    </cfRule>
    <cfRule type="cellIs" priority="3" operator="equal" dxfId="2">
      <formula>"阻塞"</formula>
    </cfRule>
    <cfRule type="cellIs" priority="4" operator="equal" dxfId="3">
      <formula>"不適用"</formula>
    </cfRule>
  </conditionalFormatting>
  <conditionalFormatting sqref="G2:G1000">
    <cfRule type="cellIs" priority="5" operator="equal" dxfId="0">
      <formula>"通過"</formula>
    </cfRule>
    <cfRule type="cellIs" priority="6" operator="equal" dxfId="2">
      <formula>"失敗"</formula>
    </cfRule>
    <cfRule type="cellIs" priority="7" operator="equal" dxfId="1">
      <formula>"部分通過"</formula>
    </cfRule>
  </conditionalFormatting>
  <conditionalFormatting sqref="B2:B1000">
    <cfRule type="cellIs" priority="8" operator="equal" dxfId="4">
      <formula>"P0"</formula>
    </cfRule>
    <cfRule type="cellIs" priority="9" operator="equal" dxfId="5">
      <formula>"P1"</formula>
    </cfRule>
    <cfRule type="cellIs" priority="10" operator="equal" dxfId="6">
      <formula>"P2"</formula>
    </cfRule>
    <cfRule type="cellIs" priority="11" operator="equal" dxfId="7">
      <formula>"R"</formula>
    </cfRule>
  </conditionalFormatting>
  <dataValidations count="4">
    <dataValidation sqref="B2:B1000" showDropDown="0" showInputMessage="0" showErrorMessage="1" allowBlank="1" errorTitle="無效的值" error="請從下拉清單選擇" type="list">
      <formula1>"P0,P1,P2,R"</formula1>
    </dataValidation>
    <dataValidation sqref="C2:C1000" showDropDown="0" showInputMessage="0" showErrorMessage="1" allowBlank="1" errorTitle="無效的值" error="請從下拉清單選擇" type="list">
      <formula1>"1 止血定案,2 內測準備,3 封閉內測,4 量產出貨"</formula1>
    </dataValidation>
    <dataValidation sqref="F2:F1000" showDropDown="0" showInputMessage="0" showErrorMessage="1" allowBlank="1" errorTitle="無效的值" error="請從下拉清單選擇" type="list">
      <formula1>"未開始,進行中,已完成,阻塞,不適用"</formula1>
    </dataValidation>
    <dataValidation sqref="G2:G1000" showDropDown="0" showInputMessage="0" showErrorMessage="1" allowBlank="1" errorTitle="無效的值" error="請從下拉清單選擇" type="list">
      <formula1>"未測試,通過,失敗,部分通過"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tabSelected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6" customWidth="1" min="2" max="2"/>
    <col width="46" customWidth="1" min="3" max="3"/>
    <col width="22" customWidth="1" min="4" max="4"/>
    <col width="9" customWidth="1" min="5" max="5"/>
    <col width="46" customWidth="1" min="6" max="6"/>
    <col width="12" customWidth="1" min="7" max="7"/>
  </cols>
  <sheetData>
    <row r="1" ht="22" customHeight="1">
      <c r="A1" s="4" t="inlineStr">
        <is>
          <t>編號</t>
        </is>
      </c>
      <c r="B1" s="4" t="inlineStr">
        <is>
          <t>問題</t>
        </is>
      </c>
      <c r="C1" s="4" t="inlineStr">
        <is>
          <t>為什麼重要</t>
        </is>
      </c>
      <c r="D1" s="4" t="inlineStr">
        <is>
          <t>影響的任務</t>
        </is>
      </c>
      <c r="E1" s="4" t="inlineStr">
        <is>
          <t>狀態</t>
        </is>
      </c>
      <c r="F1" s="4" t="inlineStr">
        <is>
          <t>回答</t>
        </is>
      </c>
      <c r="G1" s="4" t="inlineStr">
        <is>
          <t>回答日期</t>
        </is>
      </c>
    </row>
    <row r="2" ht="32" customHeight="1">
      <c r="A2" s="13" t="inlineStr">
        <is>
          <t>Q1</t>
        </is>
      </c>
      <c r="B2" s="6" t="inlineStr">
        <is>
          <t>目標市場與孩子的年齡層是？</t>
        </is>
      </c>
      <c r="C2" s="6" t="inlineStr">
        <is>
          <t>決定要符合香港 PDPO、內地 PIPL、美國 COPPA 還是歐盟 GDPR-K，以及需要哪些硬件認證。</t>
        </is>
      </c>
      <c r="D2" s="6" t="inlineStr">
        <is>
          <t>P1-04, P1-05, P1-08</t>
        </is>
      </c>
      <c r="E2" s="13" t="inlineStr">
        <is>
          <t>已回覆</t>
        </is>
      </c>
      <c r="F2" s="6" t="inlineStr">
        <is>
          <t>首發香港（粵語）；第一階段做陪伴型 AI，之後再加學習類角色。孩子年齡層未定。</t>
        </is>
      </c>
      <c r="G2" s="13" t="inlineStr">
        <is>
          <t>2026-09-30</t>
        </is>
      </c>
    </row>
    <row r="3" ht="32" customHeight="1">
      <c r="A3" s="13" t="inlineStr">
        <is>
          <t>Q2</t>
        </is>
      </c>
      <c r="B3" s="6" t="inlineStr">
        <is>
          <t>elatoai.hkqft.com 目前有沒有真實家庭在使用？</t>
        </is>
      </c>
      <c r="C3" s="6" t="inlineStr">
        <is>
          <t>有的話全部 P0 要立即處理，並要考慮是否需要通知用戶。</t>
        </is>
      </c>
      <c r="D3" s="6" t="inlineStr">
        <is>
          <t>P0-01（全部 P0 的緊急程度）</t>
        </is>
      </c>
      <c r="E3" s="13" t="inlineStr">
        <is>
          <t>已回覆</t>
        </is>
      </c>
      <c r="F3" s="6" t="inlineStr">
        <is>
          <t>目前沒有真實家庭使用（2026-09-30 確認）。</t>
        </is>
      </c>
      <c r="G3" s="13" t="inlineStr">
        <is>
          <t>2026-09-30</t>
        </is>
      </c>
    </row>
    <row r="4" ht="18" customHeight="1">
      <c r="A4" s="13" t="inlineStr">
        <is>
          <t>Q3</t>
        </is>
      </c>
      <c r="B4" s="6" t="inlineStr">
        <is>
          <t>韌體打算閉源商業銷售嗎？</t>
        </is>
      </c>
      <c r="C4" s="6" t="inlineStr">
        <is>
          <t>決定 GPL／LGPL 依賴要開源還是替換。</t>
        </is>
      </c>
      <c r="D4" s="6" t="inlineStr">
        <is>
          <t>P1-06, P1-07</t>
        </is>
      </c>
      <c r="E4" s="13" t="inlineStr">
        <is>
          <t>待回覆</t>
        </is>
      </c>
      <c r="F4" s="6" t="n"/>
      <c r="G4" s="13" t="n"/>
    </row>
    <row r="5" ht="60" customHeight="1">
      <c r="A5" s="13" t="inlineStr">
        <is>
          <t>Q4</t>
        </is>
      </c>
      <c r="B5" s="6" t="inlineStr">
        <is>
          <t>第一年計劃多少台設備？</t>
        </is>
      </c>
      <c r="C5" s="6" t="inlineStr">
        <is>
          <t>決定擴展與成本相關工作的優先次序。</t>
        </is>
      </c>
      <c r="D5" s="6" t="inlineStr">
        <is>
          <t>P2-08, P2-09（優先次序）</t>
        </is>
      </c>
      <c r="E5" s="13" t="inlineStr">
        <is>
          <t>已回覆</t>
        </is>
      </c>
      <c r="F5" s="6" t="inlineStr">
        <is>
          <t>3 個月內（約 2026 年底）小批量 100–500 台，用現成板換殼；板子在 Waveshare S3 Audio 與一塊未到貨、類似 xmini-c3 的新板之間選。收費方式未定。</t>
        </is>
      </c>
      <c r="G5" s="13" t="inlineStr">
        <is>
          <t>2026-09-30</t>
        </is>
      </c>
    </row>
    <row r="6" ht="32" customHeight="1">
      <c r="A6" s="13" t="inlineStr">
        <is>
          <t>Q5</t>
        </is>
      </c>
      <c r="B6" s="6" t="inlineStr">
        <is>
          <t>孩子的目標年齡層是幾歲？</t>
        </is>
      </c>
      <c r="C6" s="6" t="inlineStr">
        <is>
          <t>決定角色的說話方式與話題範圍、內容審核的尺度，以及粵語評測要錄哪個年齡的聲音。</t>
        </is>
      </c>
      <c r="D6" s="6" t="inlineStr">
        <is>
          <t>R-02, R-04, P1-01</t>
        </is>
      </c>
      <c r="E6" s="13" t="inlineStr">
        <is>
          <t>已回覆</t>
        </is>
      </c>
      <c r="F6" s="6" t="inlineStr">
        <is>
          <t>3–6 歲。</t>
        </is>
      </c>
      <c r="G6" s="13" t="inlineStr">
        <is>
          <t>2026-09-30</t>
        </is>
      </c>
    </row>
    <row r="7" ht="18" customHeight="1">
      <c r="A7" s="13" t="inlineStr">
        <is>
          <t>Q6</t>
        </is>
      </c>
      <c r="B7" s="6" t="inlineStr">
        <is>
          <t>家長可以自己建立角色嗎？</t>
        </is>
      </c>
      <c r="C7" s="6" t="inlineStr">
        <is>
          <t>決定角色表的權限與內容安全的把關方式。</t>
        </is>
      </c>
      <c r="D7" s="6" t="inlineStr">
        <is>
          <t>P0-15, R-02</t>
        </is>
      </c>
      <c r="E7" s="13" t="inlineStr">
        <is>
          <t>已回覆</t>
        </is>
      </c>
      <c r="F7" s="6" t="inlineStr">
        <is>
          <t>v1 關閉，只用內容管理員管理的精選角色。</t>
        </is>
      </c>
      <c r="G7" s="13" t="inlineStr">
        <is>
          <t>2026-09-30</t>
        </is>
      </c>
    </row>
    <row r="8" ht="32" customHeight="1">
      <c r="A8" s="13" t="inlineStr">
        <is>
          <t>Q7</t>
        </is>
      </c>
      <c r="B8" s="6" t="inlineStr">
        <is>
          <t>管理員能不能看孩子的對話和記憶？</t>
        </is>
      </c>
      <c r="C8" s="6" t="inlineStr">
        <is>
          <t>兒童資料的最小權限原則；決定管理端、資料庫權限和審核事件要記什麼。</t>
        </is>
      </c>
      <c r="D8" s="6" t="inlineStr">
        <is>
          <t>P0-12, P1-01, P1-11</t>
        </is>
      </c>
      <c r="E8" s="13" t="inlineStr">
        <is>
          <t>已回覆</t>
        </is>
      </c>
      <c r="F8" s="6" t="inlineStr">
        <is>
          <t>完全不能：網頁管理端和資料庫權限都不給；審核事件只記類別，不記原文。</t>
        </is>
      </c>
      <c r="G8" s="13" t="inlineStr">
        <is>
          <t>2026-09-30</t>
        </is>
      </c>
    </row>
    <row r="9" ht="18" customHeight="1">
      <c r="A9" s="13" t="inlineStr">
        <is>
          <t>Q8</t>
        </is>
      </c>
      <c r="B9" s="6" t="inlineStr">
        <is>
          <t>一個家庭帳號的結構？</t>
        </is>
      </c>
      <c r="C9" s="6" t="inlineStr">
        <is>
          <t>決定資料表和家長端的權限範圍。</t>
        </is>
      </c>
      <c r="D9" s="6" t="inlineStr">
        <is>
          <t>P0-12</t>
        </is>
      </c>
      <c r="E9" s="13" t="inlineStr">
        <is>
          <t>已回覆</t>
        </is>
      </c>
      <c r="F9" s="6" t="inlineStr">
        <is>
          <t>v1 維持 1 個家長帳號、1 個孩子、1 台設備。</t>
        </is>
      </c>
      <c r="G9" s="13" t="inlineStr">
        <is>
          <t>2026-09-30</t>
        </is>
      </c>
    </row>
    <row r="10" ht="46" customHeight="1">
      <c r="A10" s="13" t="inlineStr">
        <is>
          <t>Q9</t>
        </is>
      </c>
      <c r="B10" s="6" t="inlineStr">
        <is>
          <t>管理員分幾種角色？</t>
        </is>
      </c>
      <c r="C10" s="6" t="inlineStr">
        <is>
          <t>最小權限：誰能改角色、誰能改系統設定、誰能動設備。</t>
        </is>
      </c>
      <c r="D10" s="6" t="inlineStr">
        <is>
          <t>P0-12, R-11</t>
        </is>
      </c>
      <c r="E10" s="13" t="inlineStr">
        <is>
          <t>已回覆</t>
        </is>
      </c>
      <c r="F10" s="6" t="inlineStr">
        <is>
          <t>v1 兩種：超級管理員、內容管理員。客服工具照做，暫由超級管理員使用；客服角色之後有需要再加。</t>
        </is>
      </c>
      <c r="G10" s="13" t="inlineStr">
        <is>
          <t>2026-09-30</t>
        </is>
      </c>
    </row>
  </sheetData>
  <autoFilter ref="A1:G10"/>
  <conditionalFormatting sqref="E2:E1000">
    <cfRule type="cellIs" priority="1" operator="equal" dxfId="0">
      <formula>"已回覆"</formula>
    </cfRule>
    <cfRule type="cellIs" priority="2" operator="equal" dxfId="1">
      <formula>"待回覆"</formula>
    </cfRule>
  </conditionalFormatting>
  <dataValidations count="1">
    <dataValidation sqref="E2:E1000" showDropDown="0" showInputMessage="0" showErrorMessage="1" allowBlank="1" errorTitle="無效的值" error="請從下拉清單選擇" type="list">
      <formula1>"待回覆,已回覆"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2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8" customWidth="1" min="2" max="2"/>
    <col width="30" customWidth="1" min="3" max="3"/>
    <col width="9" customWidth="1" min="4" max="4"/>
    <col width="9" customWidth="1" min="5" max="5"/>
    <col width="10" customWidth="1" min="6" max="6"/>
    <col width="50" customWidth="1" min="7" max="7"/>
    <col width="10" customWidth="1" min="8" max="8"/>
    <col width="36" customWidth="1" min="9" max="9"/>
  </cols>
  <sheetData>
    <row r="1" ht="22" customHeight="1">
      <c r="A1" s="4" t="inlineStr">
        <is>
          <t>時間</t>
        </is>
      </c>
      <c r="B1" s="4" t="inlineStr">
        <is>
          <t>編號</t>
        </is>
      </c>
      <c r="C1" s="4" t="inlineStr">
        <is>
          <t>任務 / 問題</t>
        </is>
      </c>
      <c r="D1" s="4" t="inlineStr">
        <is>
          <t>舊狀態</t>
        </is>
      </c>
      <c r="E1" s="4" t="inlineStr">
        <is>
          <t>新狀態</t>
        </is>
      </c>
      <c r="F1" s="4" t="inlineStr">
        <is>
          <t>測試結果</t>
        </is>
      </c>
      <c r="G1" s="4" t="inlineStr">
        <is>
          <t>測試證據</t>
        </is>
      </c>
      <c r="H1" s="4" t="inlineStr">
        <is>
          <t>Commit</t>
        </is>
      </c>
      <c r="I1" s="4" t="inlineStr">
        <is>
          <t>備註</t>
        </is>
      </c>
    </row>
    <row r="2" ht="32" customHeight="1">
      <c r="A2" s="13" t="inlineStr">
        <is>
          <t>2026-09-30 09:17</t>
        </is>
      </c>
      <c r="B2" s="13" t="inlineStr">
        <is>
          <t>—</t>
        </is>
      </c>
      <c r="C2" s="6" t="inlineStr">
        <is>
          <t>建立追蹤表</t>
        </is>
      </c>
      <c r="D2" s="13" t="n"/>
      <c r="E2" s="13" t="n"/>
      <c r="F2" s="13" t="n"/>
      <c r="G2" s="6" t="n"/>
      <c r="H2" s="13" t="n"/>
      <c r="I2" s="6" t="inlineStr">
        <is>
          <t>依據 2026-09-30 的生產就緒評估建立：31 項任務、4 個待確認問題</t>
        </is>
      </c>
    </row>
    <row r="3" ht="46" customHeight="1">
      <c r="A3" s="13" t="inlineStr">
        <is>
          <t>2026-09-30 11:35</t>
        </is>
      </c>
      <c r="B3" s="13" t="inlineStr">
        <is>
          <t>Q1</t>
        </is>
      </c>
      <c r="C3" s="6" t="inlineStr">
        <is>
          <t>目標市場與孩子的年齡層是？</t>
        </is>
      </c>
      <c r="D3" s="13" t="inlineStr">
        <is>
          <t>待回覆</t>
        </is>
      </c>
      <c r="E3" s="13" t="inlineStr">
        <is>
          <t>已回覆</t>
        </is>
      </c>
      <c r="F3" s="13" t="n"/>
      <c r="G3" s="6" t="n"/>
      <c r="H3" s="13" t="n"/>
      <c r="I3" s="6" t="inlineStr">
        <is>
          <t>首發香港（粵語）；第一階段做陪伴型 AI，之後再加學習類角色。孩子年齡層未定。</t>
        </is>
      </c>
    </row>
    <row r="4" ht="32" customHeight="1">
      <c r="A4" s="13" t="inlineStr">
        <is>
          <t>2026-09-30 11:35</t>
        </is>
      </c>
      <c r="B4" s="13" t="inlineStr">
        <is>
          <t>Q2</t>
        </is>
      </c>
      <c r="C4" s="6" t="inlineStr">
        <is>
          <t>elatoai.hkqft.com 目前有沒有真實家庭在使用？</t>
        </is>
      </c>
      <c r="D4" s="13" t="inlineStr">
        <is>
          <t>待回覆</t>
        </is>
      </c>
      <c r="E4" s="13" t="inlineStr">
        <is>
          <t>已回覆</t>
        </is>
      </c>
      <c r="F4" s="13" t="n"/>
      <c r="G4" s="6" t="n"/>
      <c r="H4" s="13" t="n"/>
      <c r="I4" s="6" t="inlineStr">
        <is>
          <t>目前沒有真實家庭使用（2026-09-30 確認）。</t>
        </is>
      </c>
    </row>
    <row r="5" ht="74" customHeight="1">
      <c r="A5" s="13" t="inlineStr">
        <is>
          <t>2026-09-30 11:35</t>
        </is>
      </c>
      <c r="B5" s="13" t="inlineStr">
        <is>
          <t>Q4</t>
        </is>
      </c>
      <c r="C5" s="6" t="inlineStr">
        <is>
          <t>第一年計劃多少台設備？</t>
        </is>
      </c>
      <c r="D5" s="13" t="inlineStr">
        <is>
          <t>待回覆</t>
        </is>
      </c>
      <c r="E5" s="13" t="inlineStr">
        <is>
          <t>已回覆</t>
        </is>
      </c>
      <c r="F5" s="13" t="n"/>
      <c r="G5" s="6" t="n"/>
      <c r="H5" s="13" t="n"/>
      <c r="I5" s="6" t="inlineStr">
        <is>
          <t>3 個月內（約 2026 年底）小批量 100–500 台，用現成板換殼；板子在 Waveshare S3 Audio 與一塊未到貨、類似 xmini-c3 的新板之間選。收費方式未定。</t>
        </is>
      </c>
    </row>
    <row r="6" ht="32" customHeight="1">
      <c r="A6" s="13" t="inlineStr">
        <is>
          <t>2026-09-30 11:43</t>
        </is>
      </c>
      <c r="B6" s="13" t="inlineStr">
        <is>
          <t>R-01</t>
        </is>
      </c>
      <c r="C6" s="6" t="inlineStr">
        <is>
          <t>選定量產板子</t>
        </is>
      </c>
      <c r="D6" s="13" t="n"/>
      <c r="E6" s="13" t="inlineStr">
        <is>
          <t>未開始</t>
        </is>
      </c>
      <c r="F6" s="13" t="n"/>
      <c r="G6" s="6" t="n"/>
      <c r="H6" s="13" t="n"/>
      <c r="I6" s="6" t="inlineStr">
        <is>
          <t>新增任務（從 seed.json 同步）</t>
        </is>
      </c>
    </row>
    <row r="7" ht="32" customHeight="1">
      <c r="A7" s="13" t="inlineStr">
        <is>
          <t>2026-09-30 11:43</t>
        </is>
      </c>
      <c r="B7" s="13" t="inlineStr">
        <is>
          <t>R-02</t>
        </is>
      </c>
      <c r="C7" s="6" t="inlineStr">
        <is>
          <t>角色收窄到 5–8 個粵語陪伴角色</t>
        </is>
      </c>
      <c r="D7" s="13" t="n"/>
      <c r="E7" s="13" t="inlineStr">
        <is>
          <t>未開始</t>
        </is>
      </c>
      <c r="F7" s="13" t="n"/>
      <c r="G7" s="6" t="n"/>
      <c r="H7" s="13" t="n"/>
      <c r="I7" s="6" t="inlineStr">
        <is>
          <t>新增任務（從 seed.json 同步）</t>
        </is>
      </c>
    </row>
    <row r="8" ht="32" customHeight="1">
      <c r="A8" s="13" t="inlineStr">
        <is>
          <t>2026-09-30 11:43</t>
        </is>
      </c>
      <c r="B8" s="13" t="inlineStr">
        <is>
          <t>R-03</t>
        </is>
      </c>
      <c r="C8" s="6" t="inlineStr">
        <is>
          <t>移除不用的 Deno／Cloudflare 後端與上游預設主機</t>
        </is>
      </c>
      <c r="D8" s="13" t="n"/>
      <c r="E8" s="13" t="inlineStr">
        <is>
          <t>未開始</t>
        </is>
      </c>
      <c r="F8" s="13" t="n"/>
      <c r="G8" s="6" t="n"/>
      <c r="H8" s="13" t="n"/>
      <c r="I8" s="6" t="inlineStr">
        <is>
          <t>新增任務（從 seed.json 同步）</t>
        </is>
      </c>
    </row>
    <row r="9" ht="32" customHeight="1">
      <c r="A9" s="13" t="inlineStr">
        <is>
          <t>2026-09-30 11:43</t>
        </is>
      </c>
      <c r="B9" s="13" t="inlineStr">
        <is>
          <t>R-04</t>
        </is>
      </c>
      <c r="C9" s="6" t="inlineStr">
        <is>
          <t>粵語質量評測</t>
        </is>
      </c>
      <c r="D9" s="13" t="n"/>
      <c r="E9" s="13" t="inlineStr">
        <is>
          <t>未開始</t>
        </is>
      </c>
      <c r="F9" s="13" t="n"/>
      <c r="G9" s="6" t="n"/>
      <c r="H9" s="13" t="n"/>
      <c r="I9" s="6" t="inlineStr">
        <is>
          <t>新增任務（從 seed.json 同步）</t>
        </is>
      </c>
    </row>
    <row r="10" ht="32" customHeight="1">
      <c r="A10" s="13" t="inlineStr">
        <is>
          <t>2026-09-30 11:43</t>
        </is>
      </c>
      <c r="B10" s="13" t="inlineStr">
        <is>
          <t>R-05</t>
        </is>
      </c>
      <c r="C10" s="6" t="inlineStr">
        <is>
          <t>內測版外殼（3D 打印 20 台）</t>
        </is>
      </c>
      <c r="D10" s="13" t="n"/>
      <c r="E10" s="13" t="inlineStr">
        <is>
          <t>未開始</t>
        </is>
      </c>
      <c r="F10" s="13" t="n"/>
      <c r="G10" s="6" t="n"/>
      <c r="H10" s="13" t="n"/>
      <c r="I10" s="6" t="inlineStr">
        <is>
          <t>新增任務（從 seed.json 同步）</t>
        </is>
      </c>
    </row>
    <row r="11" ht="32" customHeight="1">
      <c r="A11" s="13" t="inlineStr">
        <is>
          <t>2026-09-30 11:43</t>
        </is>
      </c>
      <c r="B11" s="13" t="inlineStr">
        <is>
          <t>R-06</t>
        </is>
      </c>
      <c r="C11" s="6" t="inlineStr">
        <is>
          <t>家長自助上手流程</t>
        </is>
      </c>
      <c r="D11" s="13" t="n"/>
      <c r="E11" s="13" t="inlineStr">
        <is>
          <t>未開始</t>
        </is>
      </c>
      <c r="F11" s="13" t="n"/>
      <c r="G11" s="6" t="n"/>
      <c r="H11" s="13" t="n"/>
      <c r="I11" s="6" t="inlineStr">
        <is>
          <t>新增任務（從 seed.json 同步）</t>
        </is>
      </c>
    </row>
    <row r="12" ht="32" customHeight="1">
      <c r="A12" s="13" t="inlineStr">
        <is>
          <t>2026-09-30 11:43</t>
        </is>
      </c>
      <c r="B12" s="13" t="inlineStr">
        <is>
          <t>R-07</t>
        </is>
      </c>
      <c r="C12" s="6" t="inlineStr">
        <is>
          <t>20 個家庭封閉內測</t>
        </is>
      </c>
      <c r="D12" s="13" t="n"/>
      <c r="E12" s="13" t="inlineStr">
        <is>
          <t>未開始</t>
        </is>
      </c>
      <c r="F12" s="13" t="n"/>
      <c r="G12" s="6" t="n"/>
      <c r="H12" s="13" t="n"/>
      <c r="I12" s="6" t="inlineStr">
        <is>
          <t>新增任務（從 seed.json 同步）</t>
        </is>
      </c>
    </row>
    <row r="13" ht="32" customHeight="1">
      <c r="A13" s="13" t="inlineStr">
        <is>
          <t>2026-09-30 11:43</t>
        </is>
      </c>
      <c r="B13" s="13" t="inlineStr">
        <is>
          <t>R-08</t>
        </is>
      </c>
      <c r="C13" s="6" t="inlineStr">
        <is>
          <t>第 8 週關卡決策</t>
        </is>
      </c>
      <c r="D13" s="13" t="n"/>
      <c r="E13" s="13" t="inlineStr">
        <is>
          <t>未開始</t>
        </is>
      </c>
      <c r="F13" s="13" t="n"/>
      <c r="G13" s="6" t="n"/>
      <c r="H13" s="13" t="n"/>
      <c r="I13" s="6" t="inlineStr">
        <is>
          <t>新增任務（從 seed.json 同步）</t>
        </is>
      </c>
    </row>
    <row r="14" ht="32" customHeight="1">
      <c r="A14" s="13" t="inlineStr">
        <is>
          <t>2026-09-30 11:43</t>
        </is>
      </c>
      <c r="B14" s="13" t="inlineStr">
        <is>
          <t>R-09</t>
        </is>
      </c>
      <c r="C14" s="6" t="inlineStr">
        <is>
          <t>量產外殼（真空複模）</t>
        </is>
      </c>
      <c r="D14" s="13" t="n"/>
      <c r="E14" s="13" t="inlineStr">
        <is>
          <t>未開始</t>
        </is>
      </c>
      <c r="F14" s="13" t="n"/>
      <c r="G14" s="6" t="n"/>
      <c r="H14" s="13" t="n"/>
      <c r="I14" s="6" t="inlineStr">
        <is>
          <t>新增任務（從 seed.json 同步）</t>
        </is>
      </c>
    </row>
    <row r="15" ht="32" customHeight="1">
      <c r="A15" s="13" t="inlineStr">
        <is>
          <t>2026-09-30 11:43</t>
        </is>
      </c>
      <c r="B15" s="13" t="inlineStr">
        <is>
          <t>R-10</t>
        </is>
      </c>
      <c r="C15" s="6" t="inlineStr">
        <is>
          <t>出廠流程</t>
        </is>
      </c>
      <c r="D15" s="13" t="n"/>
      <c r="E15" s="13" t="inlineStr">
        <is>
          <t>未開始</t>
        </is>
      </c>
      <c r="F15" s="13" t="n"/>
      <c r="G15" s="6" t="n"/>
      <c r="H15" s="13" t="n"/>
      <c r="I15" s="6" t="inlineStr">
        <is>
          <t>新增任務（從 seed.json 同步）</t>
        </is>
      </c>
    </row>
    <row r="16" ht="32" customHeight="1">
      <c r="A16" s="13" t="inlineStr">
        <is>
          <t>2026-09-30 11:43</t>
        </is>
      </c>
      <c r="B16" s="13" t="inlineStr">
        <is>
          <t>R-11</t>
        </is>
      </c>
      <c r="C16" s="6" t="inlineStr">
        <is>
          <t>售後：客服、保修與換機</t>
        </is>
      </c>
      <c r="D16" s="13" t="n"/>
      <c r="E16" s="13" t="inlineStr">
        <is>
          <t>未開始</t>
        </is>
      </c>
      <c r="F16" s="13" t="n"/>
      <c r="G16" s="6" t="n"/>
      <c r="H16" s="13" t="n"/>
      <c r="I16" s="6" t="inlineStr">
        <is>
          <t>新增任務（從 seed.json 同步）</t>
        </is>
      </c>
    </row>
    <row r="17" ht="32" customHeight="1">
      <c r="A17" s="13" t="inlineStr">
        <is>
          <t>2026-09-30 11:43</t>
        </is>
      </c>
      <c r="B17" s="13" t="inlineStr">
        <is>
          <t>Q5</t>
        </is>
      </c>
      <c r="C17" s="6" t="inlineStr">
        <is>
          <t>孩子的目標年齡層是幾歲？</t>
        </is>
      </c>
      <c r="D17" s="13" t="n"/>
      <c r="E17" s="13" t="inlineStr">
        <is>
          <t>待回覆</t>
        </is>
      </c>
      <c r="F17" s="13" t="n"/>
      <c r="G17" s="6" t="n"/>
      <c r="H17" s="13" t="n"/>
      <c r="I17" s="6" t="inlineStr">
        <is>
          <t>新增待確認問題（從 seed.json 同步）</t>
        </is>
      </c>
    </row>
    <row r="18" ht="32" customHeight="1">
      <c r="A18" s="13" t="inlineStr">
        <is>
          <t>2026-09-30 11:43</t>
        </is>
      </c>
      <c r="B18" s="13" t="inlineStr">
        <is>
          <t>—</t>
        </is>
      </c>
      <c r="C18" s="6" t="inlineStr">
        <is>
          <t>同步表格</t>
        </is>
      </c>
      <c r="D18" s="13" t="n"/>
      <c r="E18" s="13" t="n"/>
      <c r="F18" s="13" t="n"/>
      <c r="G18" s="6" t="n"/>
      <c r="H18" s="13" t="n"/>
      <c r="I18" s="6" t="inlineStr">
        <is>
          <t>版面更新到最新版；新增 11 項任務、1 個問題；為 31 項任務填入階段</t>
        </is>
      </c>
    </row>
    <row r="19" ht="46" customHeight="1">
      <c r="A19" s="13" t="inlineStr">
        <is>
          <t>2026-09-30 11:43</t>
        </is>
      </c>
      <c r="B19" s="13" t="inlineStr">
        <is>
          <t>P0-01</t>
        </is>
      </c>
      <c r="C19" s="6" t="inlineStr">
        <is>
          <t>確認線上環境的暴露面</t>
        </is>
      </c>
      <c r="D19" s="13" t="inlineStr">
        <is>
          <t>未開始</t>
        </is>
      </c>
      <c r="E19" s="13" t="inlineStr">
        <is>
          <t>不適用</t>
        </is>
      </c>
      <c r="F19" s="13" t="n"/>
      <c r="G19" s="6" t="n"/>
      <c r="H19" s="13" t="n"/>
      <c r="I19" s="6" t="inlineStr">
        <is>
          <t>Q2：目前沒有真實家庭使用，緊急度已確定；線上驗證改為每項修復部署後各自做。</t>
        </is>
      </c>
    </row>
    <row r="20" ht="32" customHeight="1">
      <c r="A20" s="13" t="inlineStr">
        <is>
          <t>2026-09-30 11:43</t>
        </is>
      </c>
      <c r="B20" s="13" t="inlineStr">
        <is>
          <t>P1-08</t>
        </is>
      </c>
      <c r="C20" s="6" t="inlineStr">
        <is>
          <t>硬件認證</t>
        </is>
      </c>
      <c r="D20" s="13" t="inlineStr">
        <is>
          <t>未開始</t>
        </is>
      </c>
      <c r="E20" s="13" t="inlineStr">
        <is>
          <t>未開始</t>
        </is>
      </c>
      <c r="F20" s="13" t="n"/>
      <c r="G20" s="6" t="n"/>
      <c r="H20" s="13" t="n"/>
      <c r="I20" s="6" t="inlineStr">
        <is>
          <t>送測需要定案的板子和外殼樣品；修改了依賴→Q1, R-01, R-05</t>
        </is>
      </c>
    </row>
    <row r="21" ht="32" customHeight="1">
      <c r="A21" s="13" t="inlineStr">
        <is>
          <t>2026-09-30 11:43</t>
        </is>
      </c>
      <c r="B21" s="13" t="inlineStr">
        <is>
          <t>P0-14</t>
        </is>
      </c>
      <c r="C21" s="6" t="inlineStr">
        <is>
          <t>韌體簽章、Secure Boot 與 Flash 加密</t>
        </is>
      </c>
      <c r="D21" s="13" t="inlineStr">
        <is>
          <t>未開始</t>
        </is>
      </c>
      <c r="E21" s="13" t="inlineStr">
        <is>
          <t>未開始</t>
        </is>
      </c>
      <c r="F21" s="13" t="n"/>
      <c r="G21" s="6" t="n"/>
      <c r="H21" s="13" t="n"/>
      <c r="I21" s="6" t="inlineStr">
        <is>
          <t>Secure Boot 要在定案的板子上驗證；修改了依賴→P0-13, R-01</t>
        </is>
      </c>
    </row>
    <row r="22" ht="32" customHeight="1">
      <c r="A22" s="13" t="inlineStr">
        <is>
          <t>2026-09-30 11:46</t>
        </is>
      </c>
      <c r="B22" s="13" t="inlineStr">
        <is>
          <t>Q5</t>
        </is>
      </c>
      <c r="C22" s="6" t="inlineStr">
        <is>
          <t>孩子的目標年齡層是幾歲？</t>
        </is>
      </c>
      <c r="D22" s="13" t="inlineStr">
        <is>
          <t>待回覆</t>
        </is>
      </c>
      <c r="E22" s="13" t="inlineStr">
        <is>
          <t>已回覆</t>
        </is>
      </c>
      <c r="F22" s="13" t="n"/>
      <c r="G22" s="6" t="n"/>
      <c r="H22" s="13" t="n"/>
      <c r="I22" s="6" t="inlineStr">
        <is>
          <t>3–6 歲。</t>
        </is>
      </c>
    </row>
    <row r="23" ht="32" customHeight="1">
      <c r="A23" s="13" t="inlineStr">
        <is>
          <t>2026-09-30 11:46</t>
        </is>
      </c>
      <c r="B23" s="13" t="inlineStr">
        <is>
          <t>R-02</t>
        </is>
      </c>
      <c r="C23" s="6" t="inlineStr">
        <is>
          <t>角色收窄到 5–8 個粵語陪伴角色</t>
        </is>
      </c>
      <c r="D23" s="13" t="inlineStr">
        <is>
          <t>未開始</t>
        </is>
      </c>
      <c r="E23" s="13" t="inlineStr">
        <is>
          <t>未開始</t>
        </is>
      </c>
      <c r="F23" s="13" t="n"/>
      <c r="G23" s="6" t="n"/>
      <c r="H23" s="13" t="n"/>
      <c r="I23" s="6" t="inlineStr">
        <is>
          <t>Q5：3–6 歲；修改了驗收標準、測試方法</t>
        </is>
      </c>
    </row>
    <row r="24" ht="46" customHeight="1">
      <c r="A24" s="13" t="inlineStr">
        <is>
          <t>2026-09-30 11:46</t>
        </is>
      </c>
      <c r="B24" s="13" t="inlineStr">
        <is>
          <t>R-04</t>
        </is>
      </c>
      <c r="C24" s="6" t="inlineStr">
        <is>
          <t>粵語質量評測</t>
        </is>
      </c>
      <c r="D24" s="13" t="inlineStr">
        <is>
          <t>未開始</t>
        </is>
      </c>
      <c r="E24" s="13" t="inlineStr">
        <is>
          <t>未開始</t>
        </is>
      </c>
      <c r="F24" s="13" t="n"/>
      <c r="G24" s="6" t="n"/>
      <c r="H24" s="13" t="n"/>
      <c r="I24" s="6" t="inlineStr">
        <is>
          <t>Q5：3–6 歲；3 歲發音較不清，字錯率門檻可能要按首輪結果再討論；修改了測試方法</t>
        </is>
      </c>
    </row>
    <row r="25" ht="32" customHeight="1">
      <c r="A25" s="13" t="inlineStr">
        <is>
          <t>2026-09-30 11:46</t>
        </is>
      </c>
      <c r="B25" s="13" t="inlineStr">
        <is>
          <t>R-05</t>
        </is>
      </c>
      <c r="C25" s="6" t="inlineStr">
        <is>
          <t>內測版外殼（3D 打印 20 台）</t>
        </is>
      </c>
      <c r="D25" s="13" t="inlineStr">
        <is>
          <t>未開始</t>
        </is>
      </c>
      <c r="E25" s="13" t="inlineStr">
        <is>
          <t>未開始</t>
        </is>
      </c>
      <c r="F25" s="13" t="n"/>
      <c r="G25" s="6" t="n"/>
      <c r="H25" s="13" t="n"/>
      <c r="I25" s="6" t="inlineStr">
        <is>
          <t>Q5：3–6 歲；修改了測試方法</t>
        </is>
      </c>
    </row>
    <row r="26" ht="32" customHeight="1">
      <c r="A26" s="13" t="inlineStr">
        <is>
          <t>2026-09-30 11:50</t>
        </is>
      </c>
      <c r="B26" s="13" t="inlineStr">
        <is>
          <t>R-12</t>
        </is>
      </c>
      <c r="C26" s="6" t="inlineStr">
        <is>
          <t>家長控制：每日使用上限和休息時段</t>
        </is>
      </c>
      <c r="D26" s="13" t="n"/>
      <c r="E26" s="13" t="inlineStr">
        <is>
          <t>未開始</t>
        </is>
      </c>
      <c r="F26" s="13" t="n"/>
      <c r="G26" s="6" t="n"/>
      <c r="H26" s="13" t="n"/>
      <c r="I26" s="6" t="inlineStr">
        <is>
          <t>新增任務</t>
        </is>
      </c>
    </row>
    <row r="27" ht="32" customHeight="1">
      <c r="A27" s="13" t="inlineStr">
        <is>
          <t>2026-09-30 15:01</t>
        </is>
      </c>
      <c r="B27" s="13" t="inlineStr">
        <is>
          <t>P0-15</t>
        </is>
      </c>
      <c r="C27" s="6" t="inlineStr">
        <is>
          <t>角色表權限：只有內容管理員能發佈，關閉家長自建角色</t>
        </is>
      </c>
      <c r="D27" s="13" t="n"/>
      <c r="E27" s="13" t="inlineStr">
        <is>
          <t>未開始</t>
        </is>
      </c>
      <c r="F27" s="13" t="n"/>
      <c r="G27" s="6" t="n"/>
      <c r="H27" s="13" t="n"/>
      <c r="I27" s="6" t="inlineStr">
        <is>
          <t>新增任務</t>
        </is>
      </c>
    </row>
    <row r="28" ht="32" customHeight="1">
      <c r="A28" s="13" t="inlineStr">
        <is>
          <t>2026-09-30 15:01</t>
        </is>
      </c>
      <c r="B28" s="13" t="inlineStr">
        <is>
          <t>P0-16</t>
        </is>
      </c>
      <c r="C28" s="6" t="inlineStr">
        <is>
          <t>移除「醫生」身份與寫死的通關碼</t>
        </is>
      </c>
      <c r="D28" s="13" t="n"/>
      <c r="E28" s="13" t="inlineStr">
        <is>
          <t>未開始</t>
        </is>
      </c>
      <c r="F28" s="13" t="n"/>
      <c r="G28" s="6" t="n"/>
      <c r="H28" s="13" t="n"/>
      <c r="I28" s="6" t="inlineStr">
        <is>
          <t>新增任務</t>
        </is>
      </c>
    </row>
    <row r="29" ht="32" customHeight="1">
      <c r="A29" s="13" t="inlineStr">
        <is>
          <t>2026-09-30 15:01</t>
        </is>
      </c>
      <c r="B29" s="13" t="inlineStr">
        <is>
          <t>P1-09</t>
        </is>
      </c>
      <c r="C29" s="6" t="inlineStr">
        <is>
          <t>家長鎖：孩子模式進設定要輸入 PIN</t>
        </is>
      </c>
      <c r="D29" s="13" t="n"/>
      <c r="E29" s="13" t="inlineStr">
        <is>
          <t>未開始</t>
        </is>
      </c>
      <c r="F29" s="13" t="n"/>
      <c r="G29" s="6" t="n"/>
      <c r="H29" s="13" t="n"/>
      <c r="I29" s="6" t="inlineStr">
        <is>
          <t>新增任務</t>
        </is>
      </c>
    </row>
    <row r="30" ht="32" customHeight="1">
      <c r="A30" s="13" t="inlineStr">
        <is>
          <t>2026-09-30 15:01</t>
        </is>
      </c>
      <c r="B30" s="13" t="inlineStr">
        <is>
          <t>P1-10</t>
        </is>
      </c>
      <c r="C30" s="6" t="inlineStr">
        <is>
          <t>管理操作審計記錄</t>
        </is>
      </c>
      <c r="D30" s="13" t="n"/>
      <c r="E30" s="13" t="inlineStr">
        <is>
          <t>未開始</t>
        </is>
      </c>
      <c r="F30" s="13" t="n"/>
      <c r="G30" s="6" t="n"/>
      <c r="H30" s="13" t="n"/>
      <c r="I30" s="6" t="inlineStr">
        <is>
          <t>新增任務</t>
        </is>
      </c>
    </row>
    <row r="31" ht="32" customHeight="1">
      <c r="A31" s="13" t="inlineStr">
        <is>
          <t>2026-09-30 15:01</t>
        </is>
      </c>
      <c r="B31" s="13" t="inlineStr">
        <is>
          <t>P1-11</t>
        </is>
      </c>
      <c r="C31" s="6" t="inlineStr">
        <is>
          <t>伺服器與資料庫直接存取的管控</t>
        </is>
      </c>
      <c r="D31" s="13" t="n"/>
      <c r="E31" s="13" t="inlineStr">
        <is>
          <t>未開始</t>
        </is>
      </c>
      <c r="F31" s="13" t="n"/>
      <c r="G31" s="6" t="n"/>
      <c r="H31" s="13" t="n"/>
      <c r="I31" s="6" t="inlineStr">
        <is>
          <t>新增任務</t>
        </is>
      </c>
    </row>
    <row r="32" ht="32" customHeight="1">
      <c r="A32" s="13" t="inlineStr">
        <is>
          <t>2026-09-30 15:01</t>
        </is>
      </c>
      <c r="B32" s="13" t="inlineStr">
        <is>
          <t>P0-12</t>
        </is>
      </c>
      <c r="C32" s="6" t="inlineStr">
        <is>
          <t>收緊 Admin 權限與路由保護</t>
        </is>
      </c>
      <c r="D32" s="13" t="inlineStr">
        <is>
          <t>未開始</t>
        </is>
      </c>
      <c r="E32" s="13" t="inlineStr">
        <is>
          <t>未開始</t>
        </is>
      </c>
      <c r="F32" s="13" t="n"/>
      <c r="G32" s="6" t="n"/>
      <c r="H32" s="13" t="n"/>
      <c r="I32" s="6" t="inlineStr">
        <is>
          <t>權限設計討論後擴大範圍：見 Q7、Q9；修改了驗收標準、測試方法</t>
        </is>
      </c>
    </row>
    <row r="33" ht="32" customHeight="1">
      <c r="A33" s="13" t="inlineStr">
        <is>
          <t>2026-09-30 15:01</t>
        </is>
      </c>
      <c r="B33" s="13" t="inlineStr">
        <is>
          <t>P1-01</t>
        </is>
      </c>
      <c r="C33" s="6" t="inlineStr">
        <is>
          <t>加入內容審核層（輸入與輸出）</t>
        </is>
      </c>
      <c r="D33" s="13" t="inlineStr">
        <is>
          <t>未開始</t>
        </is>
      </c>
      <c r="E33" s="13" t="inlineStr">
        <is>
          <t>未開始</t>
        </is>
      </c>
      <c r="F33" s="13" t="n"/>
      <c r="G33" s="6" t="n"/>
      <c r="H33" s="13" t="n"/>
      <c r="I33" s="6" t="inlineStr">
        <is>
          <t>Q5：3–6 歲；Q7：事件不記原文；修改了驗收標準、測試方法</t>
        </is>
      </c>
    </row>
    <row r="34" ht="88" customHeight="1">
      <c r="A34" s="13" t="inlineStr">
        <is>
          <t>2026-09-30 15:01</t>
        </is>
      </c>
      <c r="B34" s="13" t="inlineStr">
        <is>
          <t>R-07</t>
        </is>
      </c>
      <c r="C34" s="6" t="inlineStr">
        <is>
          <t>20 個家庭封閉內測</t>
        </is>
      </c>
      <c r="D34" s="13" t="inlineStr">
        <is>
          <t>未開始</t>
        </is>
      </c>
      <c r="E34" s="13" t="inlineStr">
        <is>
          <t>未開始</t>
        </is>
      </c>
      <c r="F34" s="13" t="n"/>
      <c r="G34" s="6" t="n"/>
      <c r="H34" s="13" t="n"/>
      <c r="I34" s="6" t="inlineStr">
        <is>
          <t>新的權限項也要在內測前完成；修改了依賴→P0-02, P0-03, P0-04, P0-05, P0-06, P0-07, P0-08, P0-09, P0-10, P0-11, P0-12, P0-13, P1-01, P1-02, P2-09, R-01, R-02, R-04, R-05, R-06, P0-15, P0-16, P1-09, P1-11</t>
        </is>
      </c>
    </row>
    <row r="35" ht="32" customHeight="1">
      <c r="A35" s="13" t="inlineStr">
        <is>
          <t>2026-09-30 15:01</t>
        </is>
      </c>
      <c r="B35" s="13" t="inlineStr">
        <is>
          <t>R-11</t>
        </is>
      </c>
      <c r="C35" s="6" t="inlineStr">
        <is>
          <t>售後：客服、保修與換機</t>
        </is>
      </c>
      <c r="D35" s="13" t="inlineStr">
        <is>
          <t>未開始</t>
        </is>
      </c>
      <c r="E35" s="13" t="inlineStr">
        <is>
          <t>未開始</t>
        </is>
      </c>
      <c r="F35" s="13" t="n"/>
      <c r="G35" s="6" t="n"/>
      <c r="H35" s="13" t="n"/>
      <c r="I35" s="6" t="inlineStr">
        <is>
          <t>v1 沒有客服角色，售後工具由超級管理員使用（Q9）</t>
        </is>
      </c>
    </row>
    <row r="36" ht="32" customHeight="1">
      <c r="A36" s="13" t="inlineStr">
        <is>
          <t>2026-09-30 15:01</t>
        </is>
      </c>
      <c r="B36" s="13" t="inlineStr">
        <is>
          <t>Q6</t>
        </is>
      </c>
      <c r="C36" s="6" t="inlineStr">
        <is>
          <t>家長可以自己建立角色嗎？</t>
        </is>
      </c>
      <c r="D36" s="13" t="n"/>
      <c r="E36" s="13" t="inlineStr">
        <is>
          <t>待回覆</t>
        </is>
      </c>
      <c r="F36" s="13" t="n"/>
      <c r="G36" s="6" t="n"/>
      <c r="H36" s="13" t="n"/>
      <c r="I36" s="6" t="inlineStr">
        <is>
          <t>新增待確認問題</t>
        </is>
      </c>
    </row>
    <row r="37" ht="32" customHeight="1">
      <c r="A37" s="13" t="inlineStr">
        <is>
          <t>2026-09-30 15:01</t>
        </is>
      </c>
      <c r="B37" s="13" t="inlineStr">
        <is>
          <t>Q6</t>
        </is>
      </c>
      <c r="C37" s="6" t="inlineStr">
        <is>
          <t>家長可以自己建立角色嗎？</t>
        </is>
      </c>
      <c r="D37" s="13" t="inlineStr">
        <is>
          <t>待回覆</t>
        </is>
      </c>
      <c r="E37" s="13" t="inlineStr">
        <is>
          <t>已回覆</t>
        </is>
      </c>
      <c r="F37" s="13" t="n"/>
      <c r="G37" s="6" t="n"/>
      <c r="H37" s="13" t="n"/>
      <c r="I37" s="6" t="inlineStr">
        <is>
          <t>v1 關閉，只用內容管理員管理的精選角色。</t>
        </is>
      </c>
    </row>
    <row r="38" ht="32" customHeight="1">
      <c r="A38" s="13" t="inlineStr">
        <is>
          <t>2026-09-30 15:01</t>
        </is>
      </c>
      <c r="B38" s="13" t="inlineStr">
        <is>
          <t>Q7</t>
        </is>
      </c>
      <c r="C38" s="6" t="inlineStr">
        <is>
          <t>管理員能不能看孩子的對話和記憶？</t>
        </is>
      </c>
      <c r="D38" s="13" t="n"/>
      <c r="E38" s="13" t="inlineStr">
        <is>
          <t>待回覆</t>
        </is>
      </c>
      <c r="F38" s="13" t="n"/>
      <c r="G38" s="6" t="n"/>
      <c r="H38" s="13" t="n"/>
      <c r="I38" s="6" t="inlineStr">
        <is>
          <t>新增待確認問題</t>
        </is>
      </c>
    </row>
    <row r="39" ht="32" customHeight="1">
      <c r="A39" s="13" t="inlineStr">
        <is>
          <t>2026-09-30 15:01</t>
        </is>
      </c>
      <c r="B39" s="13" t="inlineStr">
        <is>
          <t>Q7</t>
        </is>
      </c>
      <c r="C39" s="6" t="inlineStr">
        <is>
          <t>管理員能不能看孩子的對話和記憶？</t>
        </is>
      </c>
      <c r="D39" s="13" t="inlineStr">
        <is>
          <t>待回覆</t>
        </is>
      </c>
      <c r="E39" s="13" t="inlineStr">
        <is>
          <t>已回覆</t>
        </is>
      </c>
      <c r="F39" s="13" t="n"/>
      <c r="G39" s="6" t="n"/>
      <c r="H39" s="13" t="n"/>
      <c r="I39" s="6" t="inlineStr">
        <is>
          <t>完全不能：網頁管理端和資料庫權限都不給；審核事件只記類別，不記原文。</t>
        </is>
      </c>
    </row>
    <row r="40" ht="32" customHeight="1">
      <c r="A40" s="13" t="inlineStr">
        <is>
          <t>2026-09-30 15:01</t>
        </is>
      </c>
      <c r="B40" s="13" t="inlineStr">
        <is>
          <t>Q8</t>
        </is>
      </c>
      <c r="C40" s="6" t="inlineStr">
        <is>
          <t>一個家庭帳號的結構？</t>
        </is>
      </c>
      <c r="D40" s="13" t="n"/>
      <c r="E40" s="13" t="inlineStr">
        <is>
          <t>待回覆</t>
        </is>
      </c>
      <c r="F40" s="13" t="n"/>
      <c r="G40" s="6" t="n"/>
      <c r="H40" s="13" t="n"/>
      <c r="I40" s="6" t="inlineStr">
        <is>
          <t>新增待確認問題</t>
        </is>
      </c>
    </row>
    <row r="41" ht="32" customHeight="1">
      <c r="A41" s="13" t="inlineStr">
        <is>
          <t>2026-09-30 15:01</t>
        </is>
      </c>
      <c r="B41" s="13" t="inlineStr">
        <is>
          <t>Q8</t>
        </is>
      </c>
      <c r="C41" s="6" t="inlineStr">
        <is>
          <t>一個家庭帳號的結構？</t>
        </is>
      </c>
      <c r="D41" s="13" t="inlineStr">
        <is>
          <t>待回覆</t>
        </is>
      </c>
      <c r="E41" s="13" t="inlineStr">
        <is>
          <t>已回覆</t>
        </is>
      </c>
      <c r="F41" s="13" t="n"/>
      <c r="G41" s="6" t="n"/>
      <c r="H41" s="13" t="n"/>
      <c r="I41" s="6" t="inlineStr">
        <is>
          <t>v1 維持 1 個家長帳號、1 個孩子、1 台設備。</t>
        </is>
      </c>
    </row>
    <row r="42" ht="32" customHeight="1">
      <c r="A42" s="13" t="inlineStr">
        <is>
          <t>2026-09-30 15:01</t>
        </is>
      </c>
      <c r="B42" s="13" t="inlineStr">
        <is>
          <t>Q9</t>
        </is>
      </c>
      <c r="C42" s="6" t="inlineStr">
        <is>
          <t>管理員分幾種角色？</t>
        </is>
      </c>
      <c r="D42" s="13" t="n"/>
      <c r="E42" s="13" t="inlineStr">
        <is>
          <t>待回覆</t>
        </is>
      </c>
      <c r="F42" s="13" t="n"/>
      <c r="G42" s="6" t="n"/>
      <c r="H42" s="13" t="n"/>
      <c r="I42" s="6" t="inlineStr">
        <is>
          <t>新增待確認問題</t>
        </is>
      </c>
    </row>
    <row r="43" ht="46" customHeight="1">
      <c r="A43" s="13" t="inlineStr">
        <is>
          <t>2026-09-30 15:01</t>
        </is>
      </c>
      <c r="B43" s="13" t="inlineStr">
        <is>
          <t>Q9</t>
        </is>
      </c>
      <c r="C43" s="6" t="inlineStr">
        <is>
          <t>管理員分幾種角色？</t>
        </is>
      </c>
      <c r="D43" s="13" t="inlineStr">
        <is>
          <t>待回覆</t>
        </is>
      </c>
      <c r="E43" s="13" t="inlineStr">
        <is>
          <t>已回覆</t>
        </is>
      </c>
      <c r="F43" s="13" t="n"/>
      <c r="G43" s="6" t="n"/>
      <c r="H43" s="13" t="n"/>
      <c r="I43" s="6" t="inlineStr">
        <is>
          <t>v1 兩種：超級管理員、內容管理員。客服工具照做，暫由超級管理員使用；客服角色之後有需要再加。</t>
        </is>
      </c>
    </row>
    <row r="44" ht="32" customHeight="1">
      <c r="A44" s="13" t="inlineStr">
        <is>
          <t>2026-10-05 09:40</t>
        </is>
      </c>
      <c r="B44" s="13" t="inlineStr">
        <is>
          <t>—</t>
        </is>
      </c>
      <c r="C44" s="6" t="inlineStr">
        <is>
          <t>同步表格</t>
        </is>
      </c>
      <c r="I44" s="6" t="inlineStr">
        <is>
          <t>版面更新到最新版；新增 0 項任務、0 個問題；為 0 項任務填入階段</t>
        </is>
      </c>
    </row>
    <row r="45" ht="32" customHeight="1">
      <c r="A45" s="13" t="inlineStr">
        <is>
          <t>2026-10-05 09:40</t>
        </is>
      </c>
      <c r="B45" s="13" t="inlineStr">
        <is>
          <t>R-13</t>
        </is>
      </c>
      <c r="C45" s="6" t="inlineStr">
        <is>
          <t>CP1 內測就緒檢查（10/30）</t>
        </is>
      </c>
      <c r="E45" s="13" t="inlineStr">
        <is>
          <t>未開始</t>
        </is>
      </c>
      <c r="I45" s="6" t="inlineStr">
        <is>
          <t>新增任務</t>
        </is>
      </c>
    </row>
    <row r="46" ht="32" customHeight="1">
      <c r="A46" s="13" t="inlineStr">
        <is>
          <t>2026-10-05 09:40</t>
        </is>
      </c>
      <c r="B46" s="13" t="inlineStr">
        <is>
          <t>R-14</t>
        </is>
      </c>
      <c r="C46" s="6" t="inlineStr">
        <is>
          <t>離線兒歌與故事</t>
        </is>
      </c>
      <c r="E46" s="13" t="inlineStr">
        <is>
          <t>未開始</t>
        </is>
      </c>
      <c r="I46" s="6" t="inlineStr">
        <is>
          <t>新增任務</t>
        </is>
      </c>
    </row>
    <row r="47" ht="32" customHeight="1">
      <c r="A47" s="13" t="inlineStr">
        <is>
          <t>2026-10-05 09:40</t>
        </is>
      </c>
      <c r="B47" s="13" t="inlineStr">
        <is>
          <t>R-15</t>
        </is>
      </c>
      <c r="C47" s="6" t="inlineStr">
        <is>
          <t>農曆新年前交付（生產 1/15、送達 1/29）</t>
        </is>
      </c>
      <c r="E47" s="13" t="inlineStr">
        <is>
          <t>未開始</t>
        </is>
      </c>
      <c r="I47" s="6" t="inlineStr">
        <is>
          <t>新增任務</t>
        </is>
      </c>
    </row>
    <row r="48" ht="32" customHeight="1">
      <c r="A48" s="13" t="inlineStr">
        <is>
          <t>2026-10-05 09:40</t>
        </is>
      </c>
      <c r="B48" s="13" t="inlineStr">
        <is>
          <t>R-07</t>
        </is>
      </c>
      <c r="C48" s="6" t="inlineStr">
        <is>
          <t>20 個家庭封閉內測</t>
        </is>
      </c>
      <c r="D48" s="13" t="inlineStr">
        <is>
          <t>未開始</t>
        </is>
      </c>
      <c r="E48" s="13" t="inlineStr">
        <is>
          <t>未開始</t>
        </is>
      </c>
      <c r="F48" s="13" t="n"/>
      <c r="G48" s="6" t="n"/>
      <c r="H48" s="13" t="n"/>
      <c r="I48" s="6" t="inlineStr">
        <is>
          <t>改為以 CP1（R-13）把關：R-13 已涵蓋原有全部依賴。；修改了依賴→R-13</t>
        </is>
      </c>
    </row>
    <row r="49" ht="46" customHeight="1">
      <c r="A49" s="13" t="inlineStr">
        <is>
          <t>2026-10-05 09:40</t>
        </is>
      </c>
      <c r="B49" s="13" t="inlineStr">
        <is>
          <t>R-08</t>
        </is>
      </c>
      <c r="C49" s="6" t="inlineStr">
        <is>
          <t>第 8 週關卡決策</t>
        </is>
      </c>
      <c r="D49" s="13" t="inlineStr">
        <is>
          <t>未開始</t>
        </is>
      </c>
      <c r="E49" s="13" t="inlineStr">
        <is>
          <t>未開始</t>
        </is>
      </c>
      <c r="F49" s="13" t="n"/>
      <c r="G49" s="6" t="n"/>
      <c r="H49" s="13" t="n"/>
      <c r="I49" s="6" t="inlineStr">
        <is>
          <t>2026-10-05：定為 CP2；收費方式已定為一次性付款、不收月費。；修改了驗收標準、依賴→R-07, P2-09, P1-08</t>
        </is>
      </c>
    </row>
    <row r="50" ht="46" customHeight="1">
      <c r="A50" s="13" t="inlineStr">
        <is>
          <t>2026-10-05 09:40</t>
        </is>
      </c>
      <c r="B50" s="13" t="inlineStr">
        <is>
          <t>R-01</t>
        </is>
      </c>
      <c r="C50" s="6" t="inlineStr">
        <is>
          <t>選定量產板子</t>
        </is>
      </c>
      <c r="D50" s="13" t="inlineStr">
        <is>
          <t>未開始</t>
        </is>
      </c>
      <c r="E50" s="13" t="inlineStr">
        <is>
          <t>未開始</t>
        </is>
      </c>
      <c r="F50" s="13" t="n"/>
      <c r="G50" s="6" t="n"/>
      <c r="H50" s="13" t="n"/>
      <c r="I50" s="6" t="inlineStr">
        <is>
          <t>2026-10-05：期限由「最遲 10/30」收緊為 10/16，外殼、認證、生產都在等這個決定。；修改了驗收標準</t>
        </is>
      </c>
    </row>
    <row r="51" ht="32" customHeight="1">
      <c r="A51" s="13" t="inlineStr">
        <is>
          <t>2026-10-05 16:58</t>
        </is>
      </c>
      <c r="B51" s="13" t="inlineStr">
        <is>
          <t>R-01</t>
        </is>
      </c>
      <c r="C51" s="6" t="inlineStr">
        <is>
          <t>選定量產板子</t>
        </is>
      </c>
      <c r="D51" s="13" t="inlineStr">
        <is>
          <t>未開始</t>
        </is>
      </c>
      <c r="E51" s="13" t="inlineStr">
        <is>
          <t>進行中</t>
        </is>
      </c>
      <c r="F51" s="13" t="n"/>
      <c r="G51" s="6" t="n"/>
      <c r="H51" s="13" t="n"/>
      <c r="I51" s="6" t="n"/>
    </row>
    <row r="52" ht="172" customHeight="1">
      <c r="A52" s="13" t="inlineStr">
        <is>
          <t>2026-10-05 16:58</t>
        </is>
      </c>
      <c r="B52" s="13" t="inlineStr">
        <is>
          <t>R-01</t>
        </is>
      </c>
      <c r="C52" s="6" t="inlineStr">
        <is>
          <t>選定量產板子</t>
        </is>
      </c>
      <c r="D52" s="13" t="inlineStr">
        <is>
          <t>進行中</t>
        </is>
      </c>
      <c r="E52" s="13" t="inlineStr">
        <is>
          <t>進行中</t>
        </is>
      </c>
      <c r="F52" s="13" t="n"/>
      <c r="G52" s="6" t="n"/>
      <c r="H52" s="13" t="n"/>
      <c r="I52" s="6" t="inlineStr">
        <is>
          <t>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</t>
        </is>
      </c>
    </row>
    <row r="53" ht="158" customHeight="1">
      <c r="A53" s="13" t="inlineStr">
        <is>
          <t>2026-10-05 17:57</t>
        </is>
      </c>
      <c r="B53" s="13" t="inlineStr">
        <is>
          <t>R-01</t>
        </is>
      </c>
      <c r="C53" s="6" t="inlineStr">
        <is>
          <t>選定量產板子</t>
        </is>
      </c>
      <c r="D53" s="13" t="inlineStr">
        <is>
          <t>進行中</t>
        </is>
      </c>
      <c r="E53" s="13" t="inlineStr">
        <is>
          <t>進行中</t>
        </is>
      </c>
      <c r="F53" s="13" t="n"/>
      <c r="G53" s="6" t="n"/>
      <c r="H53" s="13" t="n"/>
      <c r="I53" s="6" t="inlineStr">
        <is>
          <t>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</t>
        </is>
      </c>
    </row>
    <row r="54" ht="32" customHeight="1">
      <c r="A54" s="13" t="inlineStr">
        <is>
          <t>2026-10-05 18:05</t>
        </is>
      </c>
      <c r="B54" s="13" t="inlineStr">
        <is>
          <t>R-16</t>
        </is>
      </c>
      <c r="C54" s="6" t="inlineStr">
        <is>
          <t>Spotpear 量產版加電池電壓檢測（GPIO0 分壓）</t>
        </is>
      </c>
      <c r="E54" s="13" t="inlineStr">
        <is>
          <t>未開始</t>
        </is>
      </c>
      <c r="I54" s="6" t="inlineStr">
        <is>
          <t>新增任務</t>
        </is>
      </c>
    </row>
    <row r="55" ht="74" customHeight="1">
      <c r="A55" s="13" t="inlineStr">
        <is>
          <t>2026-10-05 18:05</t>
        </is>
      </c>
      <c r="B55" s="13" t="inlineStr">
        <is>
          <t>R-01</t>
        </is>
      </c>
      <c r="C55" s="6" t="inlineStr">
        <is>
          <t>選定量產板子</t>
        </is>
      </c>
      <c r="D55" s="13" t="inlineStr">
        <is>
          <t>進行中</t>
        </is>
      </c>
      <c r="E55" s="13" t="inlineStr">
        <is>
          <t>進行中</t>
        </is>
      </c>
      <c r="F55" s="13" t="n"/>
      <c r="G55" s="6" t="n"/>
      <c r="H55" s="13" t="n"/>
      <c r="I55" s="6" t="inlineStr">
        <is>
          <t>2026-10-05：用戶表示 Spotpear AI Toy（即 toy-ai-core-c3-1.54，env 改名 spotpear-ai-toy）大概率就是量產板；已和用戶跑通 app 綁定和完整對話。電池檢測的改板要求另立任務。</t>
        </is>
      </c>
    </row>
    <row r="56" ht="144" customHeight="1">
      <c r="A56" s="13" t="inlineStr">
        <is>
          <t>2026-10-06 15:21</t>
        </is>
      </c>
      <c r="B56" s="13" t="inlineStr">
        <is>
          <t>R-16</t>
        </is>
      </c>
      <c r="C56" s="6" t="inlineStr">
        <is>
          <t>Spotpear 量產版加電池電壓檢測（GPIO0 分壓）</t>
        </is>
      </c>
      <c r="D56" s="13" t="inlineStr">
        <is>
          <t>未開始</t>
        </is>
      </c>
      <c r="E56" s="13" t="inlineStr">
        <is>
          <t>未開始</t>
        </is>
      </c>
      <c r="F56" s="13" t="n"/>
      <c r="G56" s="6" t="n"/>
      <c r="H56" s="13" t="n"/>
      <c r="I56" s="6" t="inlineStr">
        <is>
          <t>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</t>
        </is>
      </c>
    </row>
    <row r="57" ht="32" customHeight="1">
      <c r="A57" s="13" t="inlineStr">
        <is>
          <t>2026-10-06 15:21</t>
        </is>
      </c>
      <c r="B57" s="13" t="inlineStr">
        <is>
          <t>R-17</t>
        </is>
      </c>
      <c r="C57" s="6" t="inlineStr">
        <is>
          <t>Spotpear 電池耗盡時插電能否正常開機（供電路徑）</t>
        </is>
      </c>
      <c r="E57" s="13" t="inlineStr">
        <is>
          <t>未開始</t>
        </is>
      </c>
      <c r="I57" s="6" t="inlineStr">
        <is>
          <t>新增任務</t>
        </is>
      </c>
    </row>
    <row r="58" ht="60" customHeight="1">
      <c r="A58" s="13" t="inlineStr">
        <is>
          <t>2026-10-06 17:52</t>
        </is>
      </c>
      <c r="B58" s="13" t="inlineStr">
        <is>
          <t>P2-03</t>
        </is>
      </c>
      <c r="C58" s="6" t="inlineStr">
        <is>
          <t>提交目前未提交的改動</t>
        </is>
      </c>
      <c r="D58" s="13" t="inlineStr">
        <is>
          <t>未開始</t>
        </is>
      </c>
      <c r="E58" s="13" t="inlineStr">
        <is>
          <t>已完成</t>
        </is>
      </c>
      <c r="F58" s="13" t="inlineStr">
        <is>
          <t>通過</t>
        </is>
      </c>
      <c r="G58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H58" s="13" t="inlineStr">
        <is>
          <t>b322375</t>
        </is>
      </c>
      <c r="I58" s="6" t="n"/>
    </row>
    <row r="59" ht="144" customHeight="1">
      <c r="A59" s="13" t="inlineStr">
        <is>
          <t>2026-10-07 10:23</t>
        </is>
      </c>
      <c r="B59" s="13" t="inlineStr">
        <is>
          <t>R-02</t>
        </is>
      </c>
      <c r="C59" s="6" t="inlineStr">
        <is>
          <t>角色收窄到 5–8 個粵語陪伴角色</t>
        </is>
      </c>
      <c r="D59" s="13" t="inlineStr">
        <is>
          <t>未開始</t>
        </is>
      </c>
      <c r="E59" s="13" t="inlineStr">
        <is>
          <t>未開始</t>
        </is>
      </c>
      <c r="F59" s="13" t="n"/>
      <c r="G59" s="6" t="n"/>
      <c r="H59" s="13" t="n"/>
      <c r="I59" s="6" t="inlineStr">
        <is>
          <t>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</t>
        </is>
      </c>
    </row>
    <row r="60" ht="32" customHeight="1">
      <c r="A60" s="13" t="inlineStr">
        <is>
          <t>2026-10-07 11:59</t>
        </is>
      </c>
      <c r="B60" s="13" t="inlineStr">
        <is>
          <t>P0-15</t>
        </is>
      </c>
      <c r="C60" s="6" t="inlineStr">
        <is>
          <t>角色表權限：只有內容管理員能發佈，關閉家長自建角色</t>
        </is>
      </c>
      <c r="D60" s="13" t="inlineStr">
        <is>
          <t>未開始</t>
        </is>
      </c>
      <c r="E60" s="13" t="inlineStr">
        <is>
          <t>進行中</t>
        </is>
      </c>
      <c r="F60" s="13" t="n"/>
      <c r="G60" s="6" t="n"/>
      <c r="H60" s="13" t="n"/>
      <c r="I60" s="6" t="n"/>
    </row>
    <row r="61" ht="130" customHeight="1">
      <c r="A61" s="13" t="inlineStr">
        <is>
          <t>2026-10-07 11:59</t>
        </is>
      </c>
      <c r="B61" s="13" t="inlineStr">
        <is>
          <t>P0-15</t>
        </is>
      </c>
      <c r="C61" s="6" t="inlineStr">
        <is>
          <t>角色表權限：只有內容管理員能發佈，關閉家長自建角色</t>
        </is>
      </c>
      <c r="D61" s="13" t="inlineStr">
        <is>
          <t>進行中</t>
        </is>
      </c>
      <c r="E61" s="13" t="inlineStr">
        <is>
          <t>進行中</t>
        </is>
      </c>
      <c r="F61" s="13" t="inlineStr">
        <is>
          <t>部分通過</t>
        </is>
      </c>
      <c r="G61" s="6" t="inlineStr">
        <is>
          <t>① 本機 BEGIN/ROLLBACK：修補前 authenticated INSERT creator_id NULL 成功；套 20261007140000 後 authenticated/anon INSERT、UPDATE、TRUNCATE 均 permission denied，SELECT 仍見 42 行，service_role 照常寫入。④ /home/create 改為 redirect /home、移除 + 與側欄入口（tsc 通過，未在瀏覽器驗證）。未做：② 隱藏/他人自建角色仍可讀（SELECT USING true）；③ 未經 has_role 把關（等 P0-12）；現有家長自建角色未設為隱藏。</t>
        </is>
      </c>
      <c r="H61" s="13" t="inlineStr">
        <is>
          <t>65ddb31</t>
        </is>
      </c>
      <c r="I61" s="6" t="inlineStr">
        <is>
          <t>分支 lock-character-writes（65ddb31 RLS、f3aafdd 撤 /home/create），未 merge、未套用到生產</t>
        </is>
      </c>
    </row>
    <row r="62" ht="46" customHeight="1">
      <c r="A62" s="13" t="inlineStr">
        <is>
          <t>2026-10-07 12:04</t>
        </is>
      </c>
      <c r="B62" s="13" t="inlineStr">
        <is>
          <t>P0-15</t>
        </is>
      </c>
      <c r="C62" s="6" t="inlineStr">
        <is>
          <t>角色表權限：只有內容管理員能發佈，關閉家長自建角色</t>
        </is>
      </c>
      <c r="D62" s="13" t="inlineStr">
        <is>
          <t>進行中</t>
        </is>
      </c>
      <c r="E62" s="13" t="inlineStr">
        <is>
          <t>進行中</t>
        </is>
      </c>
      <c r="F62" s="13" t="n"/>
      <c r="G62" s="6" t="n"/>
      <c r="H62" s="13" t="n"/>
      <c r="I62" s="6" t="inlineStr">
        <is>
          <t>2026-10-07 用戶決定：現有家長自建角色暫時保留，不設為隱藏，驗收標準相應修改；修改了驗收標準</t>
        </is>
      </c>
    </row>
    <row r="63" ht="88" customHeight="1">
      <c r="A63" s="13" t="inlineStr">
        <is>
          <t>2026-10-07 12:17</t>
        </is>
      </c>
      <c r="B63" s="13" t="inlineStr">
        <is>
          <t>R-01</t>
        </is>
      </c>
      <c r="C63" s="6" t="inlineStr">
        <is>
          <t>選定量產板子</t>
        </is>
      </c>
      <c r="D63" s="13" t="inlineStr">
        <is>
          <t>進行中</t>
        </is>
      </c>
      <c r="E63" s="13" t="inlineStr">
        <is>
          <t>進行中</t>
        </is>
      </c>
      <c r="F63" s="13" t="n"/>
      <c r="G63" s="6" t="n"/>
      <c r="H63" s="13" t="n"/>
      <c r="I63" s="6" t="inlineStr">
        <is>
          <t>2026-10-07：用戶定案 Spotpear AI Toy（toy-ai-core-c3-1.54，env spotpear-ai-toy）為量產板，不再等另一塊板。驗收改為在 Spotpear 上測完評分表，確認沒有否決性問題；仍缺 ①②⑥⑦。；修改了驗收標準</t>
        </is>
      </c>
    </row>
    <row r="64" ht="32" customHeight="1">
      <c r="A64" s="13" t="inlineStr">
        <is>
          <t>2026-10-07 12:17</t>
        </is>
      </c>
      <c r="B64" s="13" t="inlineStr">
        <is>
          <t>P0-02</t>
        </is>
      </c>
      <c r="C64" s="6" t="inlineStr">
        <is>
          <t>收緊 conversations 表的 RLS</t>
        </is>
      </c>
      <c r="D64" s="13" t="inlineStr">
        <is>
          <t>未開始</t>
        </is>
      </c>
      <c r="E64" s="13" t="inlineStr">
        <is>
          <t>進行中</t>
        </is>
      </c>
      <c r="F64" s="13" t="n"/>
      <c r="G64" s="6" t="n"/>
      <c r="H64" s="13" t="n"/>
      <c r="I64" s="6" t="n"/>
    </row>
    <row r="65" ht="32" customHeight="1">
      <c r="A65" s="13" t="inlineStr">
        <is>
          <t>2026-10-07 12:17</t>
        </is>
      </c>
      <c r="B65" s="13" t="inlineStr">
        <is>
          <t>P0-03</t>
        </is>
      </c>
      <c r="C65" s="6" t="inlineStr">
        <is>
          <t>收緊 users 表的 RLS</t>
        </is>
      </c>
      <c r="D65" s="13" t="inlineStr">
        <is>
          <t>未開始</t>
        </is>
      </c>
      <c r="E65" s="13" t="inlineStr">
        <is>
          <t>進行中</t>
        </is>
      </c>
      <c r="F65" s="13" t="n"/>
      <c r="G65" s="6" t="n"/>
      <c r="H65" s="13" t="n"/>
      <c r="I65" s="6" t="n"/>
    </row>
    <row r="66" ht="32" customHeight="1">
      <c r="A66" s="13" t="inlineStr">
        <is>
          <t>2026-10-07 12:17</t>
        </is>
      </c>
      <c r="B66" s="13" t="inlineStr">
        <is>
          <t>P0-04</t>
        </is>
      </c>
      <c r="C66" s="6" t="inlineStr">
        <is>
          <t>收緊 devices 表的 RLS</t>
        </is>
      </c>
      <c r="D66" s="13" t="inlineStr">
        <is>
          <t>未開始</t>
        </is>
      </c>
      <c r="E66" s="13" t="inlineStr">
        <is>
          <t>進行中</t>
        </is>
      </c>
      <c r="F66" s="13" t="n"/>
      <c r="G66" s="6" t="n"/>
      <c r="H66" s="13" t="n"/>
      <c r="I66" s="6" t="n"/>
    </row>
    <row r="67" ht="32" customHeight="1">
      <c r="A67" s="13" t="inlineStr">
        <is>
          <t>2026-10-07 12:17</t>
        </is>
      </c>
      <c r="B67" s="13" t="inlineStr">
        <is>
          <t>P0-05</t>
        </is>
      </c>
      <c r="C67" s="6" t="inlineStr">
        <is>
          <t>撤銷敏感表的多餘授權</t>
        </is>
      </c>
      <c r="D67" s="13" t="inlineStr">
        <is>
          <t>未開始</t>
        </is>
      </c>
      <c r="E67" s="13" t="inlineStr">
        <is>
          <t>進行中</t>
        </is>
      </c>
      <c r="F67" s="13" t="n"/>
      <c r="G67" s="6" t="n"/>
      <c r="H67" s="13" t="n"/>
      <c r="I67" s="6" t="n"/>
    </row>
    <row r="68" ht="130" customHeight="1">
      <c r="A68" s="13" t="inlineStr">
        <is>
          <t>2026-10-07 12:31</t>
        </is>
      </c>
      <c r="B68" s="13" t="inlineStr">
        <is>
          <t>P0-02</t>
        </is>
      </c>
      <c r="C68" s="6" t="inlineStr">
        <is>
          <t>收緊 conversations 表的 RLS</t>
        </is>
      </c>
      <c r="D68" s="13" t="inlineStr">
        <is>
          <t>進行中</t>
        </is>
      </c>
      <c r="E68" s="13" t="inlineStr">
        <is>
          <t>進行中</t>
        </is>
      </c>
      <c r="F68" s="13" t="inlineStr">
        <is>
          <t>通過</t>
        </is>
      </c>
      <c r="G68" s="6" t="inlineStr">
        <is>
          <t>本機：pg_policies 只剩擁有者 SELECT/DELETE，無 qual=true；publishable key GET/INSERT conversations → 42501；GoTrue 用戶 A 讀自己 2 行、讀 B 0 行，INSERT/UPDATE → 42501；store.insert_conversation_turn（service_role）寫入 user/assistant 兩行成功</t>
        </is>
      </c>
      <c r="H68" s="13" t="n"/>
      <c r="I68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69" ht="130" customHeight="1">
      <c r="A69" s="13" t="inlineStr">
        <is>
          <t>2026-10-07 12:31</t>
        </is>
      </c>
      <c r="B69" s="13" t="inlineStr">
        <is>
          <t>P0-03</t>
        </is>
      </c>
      <c r="C69" s="6" t="inlineStr">
        <is>
          <t>收緊 users 表的 RLS</t>
        </is>
      </c>
      <c r="D69" s="13" t="inlineStr">
        <is>
          <t>進行中</t>
        </is>
      </c>
      <c r="E69" s="13" t="inlineStr">
        <is>
          <t>進行中</t>
        </is>
      </c>
      <c r="F69" s="13" t="inlineStr">
        <is>
          <t>通過</t>
        </is>
      </c>
      <c r="G69" s="6" t="inlineStr">
        <is>
          <t>本機：anon GET/PATCH users → 42501；A 讀 B、改 B 均 0 行；A 改自己的 is_premium/email/device_id → 42501；網頁實測（publishable key）：首次登入建行成功，設定頁保存姓名/年齡/描述 → DB 已更新；用別人 email 建行 → RLS 拒絕</t>
        </is>
      </c>
      <c r="H69" s="13" t="n"/>
      <c r="I69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0" ht="130" customHeight="1">
      <c r="A70" s="13" t="inlineStr">
        <is>
          <t>2026-10-07 12:31</t>
        </is>
      </c>
      <c r="B70" s="13" t="inlineStr">
        <is>
          <t>P0-04</t>
        </is>
      </c>
      <c r="C70" s="6" t="inlineStr">
        <is>
          <t>收緊 devices 表的 RLS</t>
        </is>
      </c>
      <c r="D70" s="13" t="inlineStr">
        <is>
          <t>進行中</t>
        </is>
      </c>
      <c r="E70" s="13" t="inlineStr">
        <is>
          <t>進行中</t>
        </is>
      </c>
      <c r="F70" s="13" t="inlineStr">
        <is>
          <t>通過</t>
        </is>
      </c>
      <c r="G70" s="6" t="inlineStr">
        <is>
          <t>本機：anon GET/PATCH devices → 42501；A 改 B 的 user_id、直接認領無主設備、INSERT → 42501；網頁實測：無主清單 Claim → devices.user_id 與 users.device_id 已寫入，音量 70→3，Unbind 清空，輸入配對碼綁定成功</t>
        </is>
      </c>
      <c r="H70" s="13" t="n"/>
      <c r="I70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1" ht="130" customHeight="1">
      <c r="A71" s="13" t="inlineStr">
        <is>
          <t>2026-10-07 12:31</t>
        </is>
      </c>
      <c r="B71" s="13" t="inlineStr">
        <is>
          <t>P0-05</t>
        </is>
      </c>
      <c r="C71" s="6" t="inlineStr">
        <is>
          <t>撤銷敏感表的多餘授權</t>
        </is>
      </c>
      <c r="D71" s="13" t="inlineStr">
        <is>
          <t>進行中</t>
        </is>
      </c>
      <c r="E71" s="13" t="inlineStr">
        <is>
          <t>進行中</t>
        </is>
      </c>
      <c r="F71" s="13" t="inlineStr">
        <is>
          <t>通過</t>
        </is>
      </c>
      <c r="G71" s="6" t="inlineStr">
        <is>
          <t>本機 role_table_grants：anon 對三表 0 筆；authenticated＝users SELECT＋欄位級 INSERT/UPDATE、devices SELECT＋UPDATE(volume,is_reset,is_ota)、conversations SELECT/DELETE，三表都沒有 TRUNCATE</t>
        </is>
      </c>
      <c r="H71" s="13" t="n"/>
      <c r="I71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2" ht="74" customHeight="1">
      <c r="A72" s="13" t="inlineStr">
        <is>
          <t>2026-10-07 12:31</t>
        </is>
      </c>
      <c r="B72" s="13" t="inlineStr">
        <is>
          <t>P0-11</t>
        </is>
      </c>
      <c r="C72" s="6" t="inlineStr">
        <is>
          <t>設備認領要求持有證明</t>
        </is>
      </c>
      <c r="D72" s="13" t="inlineStr">
        <is>
          <t>未開始</t>
        </is>
      </c>
      <c r="E72" s="13" t="inlineStr">
        <is>
          <t>未開始</t>
        </is>
      </c>
      <c r="F72" s="13" t="n"/>
      <c r="G72" s="6" t="n"/>
      <c r="H72" s="13" t="n"/>
      <c r="I72" s="6" t="inlineStr">
        <is>
          <t>2026-10-07：addUserToDevice（輸入配對碼）沒有限制 user_id IS NULL，知道配對碼就能把已有主人的設備轉到自己帳號；P0-04 只把它搬到 service_role，行為未改，留給本項處理。</t>
        </is>
      </c>
    </row>
    <row r="73" ht="88" customHeight="1">
      <c r="A73" s="13" t="inlineStr">
        <is>
          <t>2026-10-07 12:31</t>
        </is>
      </c>
      <c r="B73" s="13" t="inlineStr">
        <is>
          <t>P0-16</t>
        </is>
      </c>
      <c r="C73" s="6" t="inlineStr">
        <is>
          <t>移除「醫生」身份與寫死的通關碼</t>
        </is>
      </c>
      <c r="D73" s="13" t="inlineStr">
        <is>
          <t>未開始</t>
        </is>
      </c>
      <c r="E73" s="13" t="inlineStr">
        <is>
          <t>未開始</t>
        </is>
      </c>
      <c r="F73" s="13" t="n"/>
      <c r="G73" s="6" t="n"/>
      <c r="H73" s="13" t="n"/>
      <c r="I73" s="6" t="inlineStr">
        <is>
          <t>2026-10-07：P0-04 的 migration 讓 authenticated 仍可改 users.user_info，只因 Onboarding/AppSettings 還在那裡寫 doctor 身份；移除 doctor 後，同時從 GRANT UPDATE 拿掉 user_info。</t>
        </is>
      </c>
    </row>
    <row r="74" ht="46" customHeight="1">
      <c r="A74" s="13" t="inlineStr">
        <is>
          <t>2026-10-07 12:31</t>
        </is>
      </c>
      <c r="B74" s="13" t="inlineStr">
        <is>
          <t>P0-17</t>
        </is>
      </c>
      <c r="C74" s="6" t="inlineStr">
        <is>
          <t>前端的 anon key 必須是公開 key，不可是 secret／service_role</t>
        </is>
      </c>
      <c r="E74" s="13" t="inlineStr">
        <is>
          <t>未開始</t>
        </is>
      </c>
      <c r="I74" s="6" t="inlineStr">
        <is>
          <t>新增任務</t>
        </is>
      </c>
    </row>
    <row r="75" ht="46" customHeight="1">
      <c r="A75" s="13" t="inlineStr">
        <is>
          <t>2026-10-07 12:45</t>
        </is>
      </c>
      <c r="B75" s="13" t="inlineStr">
        <is>
          <t>P0-17</t>
        </is>
      </c>
      <c r="C75" s="6" t="inlineStr">
        <is>
          <t>前端的 anon key 必須是公開 key，不可是 secret／service_role</t>
        </is>
      </c>
      <c r="D75" s="13" t="inlineStr">
        <is>
          <t>未開始</t>
        </is>
      </c>
      <c r="E75" s="13" t="inlineStr">
        <is>
          <t>進行中</t>
        </is>
      </c>
      <c r="F75" s="13" t="n"/>
      <c r="G75" s="6" t="n"/>
      <c r="H75" s="13" t="n"/>
      <c r="I75" s="6" t="n"/>
    </row>
    <row r="76" ht="88" customHeight="1">
      <c r="A76" s="13" t="inlineStr">
        <is>
          <t>2026-10-07 12:45</t>
        </is>
      </c>
      <c r="B76" s="13" t="inlineStr">
        <is>
          <t>P0-17</t>
        </is>
      </c>
      <c r="C76" s="6" t="inlineStr">
        <is>
          <t>前端的 anon key 必須是公開 key，不可是 secret／service_role</t>
        </is>
      </c>
      <c r="D76" s="13" t="inlineStr">
        <is>
          <t>進行中</t>
        </is>
      </c>
      <c r="E76" s="13" t="inlineStr">
        <is>
          <t>進行中</t>
        </is>
      </c>
      <c r="F76" s="13" t="inlineStr">
        <is>
          <t>部分通過</t>
        </is>
      </c>
      <c r="G76" s="6" t="inlineStr">
        <is>
          <t>① 線上 /login 引用的 12 個 JS + HTML：無 sb_secret_，唯一的 key 是 role=anon 的 JWT ③ 本機 .env.local 原為 sb_secret_（已備份 .env.local.bak-p017），換成 kong 的 sb_publishable_ 後 anon GET /rest/v1/users → 42501。② 未做：線上 RLS 尚未套用，現在讀 users 會讀到全部家庭資料</t>
        </is>
      </c>
      <c r="H76" s="13" t="n"/>
      <c r="I76" s="6" t="inlineStr">
        <is>
          <t>2026-10-07：線上沒有外洩 secret key，無需輪換。② 要等 P0-02～P0-05 的 migration 在線上套用後再測。</t>
        </is>
      </c>
    </row>
    <row r="77" ht="32" customHeight="1">
      <c r="A77" s="13" t="inlineStr">
        <is>
          <t>2026-10-07 12:45</t>
        </is>
      </c>
      <c r="B77" s="13" t="inlineStr">
        <is>
          <t>P0-02</t>
        </is>
      </c>
      <c r="C77" s="6" t="inlineStr">
        <is>
          <t>收緊 conversations 表的 RLS</t>
        </is>
      </c>
      <c r="D77" s="13" t="inlineStr">
        <is>
          <t>進行中</t>
        </is>
      </c>
      <c r="E77" s="13" t="inlineStr">
        <is>
          <t>進行中</t>
        </is>
      </c>
      <c r="F77" s="13" t="n"/>
      <c r="G77" s="6" t="n"/>
      <c r="H77" s="13" t="inlineStr">
        <is>
          <t>e3dfb35</t>
        </is>
      </c>
      <c r="I77" s="6" t="n"/>
    </row>
    <row r="78" ht="32" customHeight="1">
      <c r="A78" s="13" t="inlineStr">
        <is>
          <t>2026-10-07 12:45</t>
        </is>
      </c>
      <c r="B78" s="13" t="inlineStr">
        <is>
          <t>P0-03</t>
        </is>
      </c>
      <c r="C78" s="6" t="inlineStr">
        <is>
          <t>收緊 users 表的 RLS</t>
        </is>
      </c>
      <c r="D78" s="13" t="inlineStr">
        <is>
          <t>進行中</t>
        </is>
      </c>
      <c r="E78" s="13" t="inlineStr">
        <is>
          <t>進行中</t>
        </is>
      </c>
      <c r="F78" s="13" t="n"/>
      <c r="G78" s="6" t="n"/>
      <c r="H78" s="13" t="inlineStr">
        <is>
          <t>e3dfb35</t>
        </is>
      </c>
      <c r="I78" s="6" t="n"/>
    </row>
    <row r="79" ht="32" customHeight="1">
      <c r="A79" s="13" t="inlineStr">
        <is>
          <t>2026-10-07 12:45</t>
        </is>
      </c>
      <c r="B79" s="13" t="inlineStr">
        <is>
          <t>P0-04</t>
        </is>
      </c>
      <c r="C79" s="6" t="inlineStr">
        <is>
          <t>收緊 devices 表的 RLS</t>
        </is>
      </c>
      <c r="D79" s="13" t="inlineStr">
        <is>
          <t>進行中</t>
        </is>
      </c>
      <c r="E79" s="13" t="inlineStr">
        <is>
          <t>進行中</t>
        </is>
      </c>
      <c r="F79" s="13" t="n"/>
      <c r="G79" s="6" t="n"/>
      <c r="H79" s="13" t="inlineStr">
        <is>
          <t>e3dfb35</t>
        </is>
      </c>
      <c r="I79" s="6" t="n"/>
    </row>
    <row r="80" ht="32" customHeight="1">
      <c r="A80" s="13" t="inlineStr">
        <is>
          <t>2026-10-07 12:45</t>
        </is>
      </c>
      <c r="B80" s="13" t="inlineStr">
        <is>
          <t>P0-05</t>
        </is>
      </c>
      <c r="C80" s="6" t="inlineStr">
        <is>
          <t>撤銷敏感表的多餘授權</t>
        </is>
      </c>
      <c r="D80" s="13" t="inlineStr">
        <is>
          <t>進行中</t>
        </is>
      </c>
      <c r="E80" s="13" t="inlineStr">
        <is>
          <t>進行中</t>
        </is>
      </c>
      <c r="F80" s="13" t="n"/>
      <c r="G80" s="6" t="n"/>
      <c r="H80" s="13" t="inlineStr">
        <is>
          <t>e3dfb35</t>
        </is>
      </c>
      <c r="I80" s="6" t="n"/>
    </row>
    <row r="81" ht="32" customHeight="1">
      <c r="A81" s="13" t="inlineStr">
        <is>
          <t>2026-10-07 13:03</t>
        </is>
      </c>
      <c r="B81" s="13" t="inlineStr">
        <is>
          <t>P0-06</t>
        </is>
      </c>
      <c r="C81" s="6" t="inlineStr">
        <is>
          <t>停止憑 MAC 發放永久用戶 JWT</t>
        </is>
      </c>
      <c r="D81" s="13" t="inlineStr">
        <is>
          <t>未開始</t>
        </is>
      </c>
      <c r="E81" s="13" t="inlineStr">
        <is>
          <t>進行中</t>
        </is>
      </c>
      <c r="F81" s="13" t="n"/>
      <c r="G81" s="6" t="n"/>
      <c r="H81" s="13" t="n"/>
      <c r="I81" s="6" t="n"/>
    </row>
    <row r="82" ht="32" customHeight="1">
      <c r="A82" s="13" t="inlineStr">
        <is>
          <t>2026-10-07 13:03</t>
        </is>
      </c>
      <c r="B82" s="13" t="inlineStr">
        <is>
          <t>P0-08</t>
        </is>
      </c>
      <c r="C82" s="6" t="inlineStr">
        <is>
          <t>語音伺服器驗證設備身份（/ws/esp32）</t>
        </is>
      </c>
      <c r="D82" s="13" t="inlineStr">
        <is>
          <t>未開始</t>
        </is>
      </c>
      <c r="E82" s="13" t="inlineStr">
        <is>
          <t>進行中</t>
        </is>
      </c>
      <c r="F82" s="13" t="n"/>
      <c r="G82" s="6" t="n"/>
      <c r="H82" s="13" t="n"/>
      <c r="I82" s="6" t="n"/>
    </row>
    <row r="83" ht="144" customHeight="1">
      <c r="A83" s="13" t="inlineStr">
        <is>
          <t>2026-10-07 13:03</t>
        </is>
      </c>
      <c r="B83" s="13" t="inlineStr">
        <is>
          <t>P0-06</t>
        </is>
      </c>
      <c r="C83" s="6" t="inlineStr">
        <is>
          <t>停止憑 MAC 發放永久用戶 JWT</t>
        </is>
      </c>
      <c r="D83" s="13" t="inlineStr">
        <is>
          <t>進行中</t>
        </is>
      </c>
      <c r="E83" s="13" t="inlineStr">
        <is>
          <t>進行中</t>
        </is>
      </c>
      <c r="F83" s="13" t="inlineStr">
        <is>
          <t>部分通過</t>
        </is>
      </c>
      <c r="G83" s="6" t="inlineStr">
        <is>
          <t>本機 API（SKIP=False）：GET → 410；新 MAC 首次 POST → 202＋43 字元密鑰；只帶 MAC 或錯誤密鑰 → 401，last_seen_at 不變；持密鑰未認領 → 202；認領後 → 200 token（typ=device，24h，無 role/email）；設備 token 讀 users/conversations/devices → PostgREST 401；device_secrets 只存 sha256。④實機：localall 韌體已燒到開發板，等 WiFi 設定後測</t>
        </is>
      </c>
      <c r="H83" s="13" t="n"/>
      <c r="I83" s="6" t="inlineStr">
        <is>
          <t>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</t>
        </is>
      </c>
    </row>
    <row r="84" ht="88" customHeight="1">
      <c r="A84" s="13" t="inlineStr">
        <is>
          <t>2026-10-07 13:03</t>
        </is>
      </c>
      <c r="B84" s="13" t="inlineStr">
        <is>
          <t>P0-08</t>
        </is>
      </c>
      <c r="C84" s="6" t="inlineStr">
        <is>
          <t>語音伺服器驗證設備身份（/ws/esp32）</t>
        </is>
      </c>
      <c r="D84" s="13" t="inlineStr">
        <is>
          <t>進行中</t>
        </is>
      </c>
      <c r="E84" s="13" t="inlineStr">
        <is>
          <t>進行中</t>
        </is>
      </c>
      <c r="F84" s="13" t="inlineStr">
        <is>
          <t>部分通過</t>
        </is>
      </c>
      <c r="G84" s="6" t="inlineStr">
        <is>
          <t>pytest tests/test_device_auth.py 30 項通過（含 jsonwebtoken 簽的 token、alg none/HS512、改 payload、過期、/ws/esp32 偽造 MAC→4401、header 謊報 MAC 被忽略）；本機 7861 實測：無 token／過期／Supabase secret 簽的 → 4401，有效 token → 收到 auth。③真實設備待測</t>
        </is>
      </c>
      <c r="H84" s="13" t="n"/>
      <c r="I84" s="6" t="inlineStr">
        <is>
          <t>2026-10-07：device_auth.py 用標準庫 hmac 驗 HS256（venv 無 PyJWT），每次呼叫才讀 DEVICE_JWT_SECRET（bot.py 的 load_dotenv 在 import 之後）。未設 secret 時所有設備被拒。</t>
        </is>
      </c>
    </row>
    <row r="85" ht="74" customHeight="1">
      <c r="A85" s="13" t="inlineStr">
        <is>
          <t>2026-10-07 13:03</t>
        </is>
      </c>
      <c r="B85" s="13" t="inlineStr">
        <is>
          <t>P0-11</t>
        </is>
      </c>
      <c r="C85" s="6" t="inlineStr">
        <is>
          <t>設備認領要求持有證明</t>
        </is>
      </c>
      <c r="D85" s="13" t="inlineStr">
        <is>
          <t>未開始</t>
        </is>
      </c>
      <c r="E85" s="13" t="inlineStr">
        <is>
          <t>未開始</t>
        </is>
      </c>
      <c r="F85" s="13" t="n"/>
      <c r="G85" s="6" t="n"/>
      <c r="H85" s="13" t="n"/>
      <c r="I85" s="6" t="inlineStr">
        <is>
          <t>2026-10-07：P0-06 之後配對碼只回給持有設備密鑰的請求（只知 MAC → 401），驗收第一條在本機已成立；仍缺：不再列出全球未認領設備、輸錯上限、addUserToDevice 搶已綁定設備。</t>
        </is>
      </c>
    </row>
    <row r="86" ht="88" customHeight="1">
      <c r="A86" s="13" t="inlineStr">
        <is>
          <t>2026-10-07 14:39</t>
        </is>
      </c>
      <c r="B86" s="13" t="inlineStr">
        <is>
          <t>P0-06</t>
        </is>
      </c>
      <c r="C86" s="6" t="inlineStr">
        <is>
          <t>停止憑 MAC 發放永久用戶 JWT</t>
        </is>
      </c>
      <c r="D86" s="13" t="inlineStr">
        <is>
          <t>進行中</t>
        </is>
      </c>
      <c r="E86" s="13" t="inlineStr">
        <is>
          <t>進行中</t>
        </is>
      </c>
      <c r="F86" s="13" t="inlineStr">
        <is>
          <t>通過</t>
        </is>
      </c>
      <c r="G86" s="6" t="inlineStr">
        <is>
          <t>本機 API：只帶 MAC 或錯誤密鑰 → 401、GET → 410；設備 token 讀 users/conversations/devices → PostgREST 401；過期 token 在 ws 與 reset 路由都被拒。實機（開發板 63:64，localall 韌體）：首次聯絡領到密鑰存 NVS、換到 24h token、連上 7861、對話「你聽唔聽到我講嘢？」與回覆寫入 conversations</t>
        </is>
      </c>
      <c r="H86" s="13" t="inlineStr">
        <is>
          <t>da98048</t>
        </is>
      </c>
      <c r="I86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7" ht="88" customHeight="1">
      <c r="A87" s="13" t="inlineStr">
        <is>
          <t>2026-10-07 14:39</t>
        </is>
      </c>
      <c r="B87" s="13" t="inlineStr">
        <is>
          <t>P0-08</t>
        </is>
      </c>
      <c r="C87" s="6" t="inlineStr">
        <is>
          <t>語音伺服器驗證設備身份（/ws/esp32）</t>
        </is>
      </c>
      <c r="D87" s="13" t="inlineStr">
        <is>
          <t>進行中</t>
        </is>
      </c>
      <c r="E87" s="13" t="inlineStr">
        <is>
          <t>進行中</t>
        </is>
      </c>
      <c r="F87" s="13" t="inlineStr">
        <is>
          <t>通過</t>
        </is>
      </c>
      <c r="G87" s="6" t="inlineStr">
        <is>
          <t>pytest test_device_auth.py 30 項通過；本機：偽造 MAC、過期、Supabase secret 簽的 token → 4401；實機 token 被拒時韌體偵測到「auth 之前被關閉」，斷線期間續期（拒 22 次、換 3 次 token、0 panic），密鑰改回後自動恢復；伺服器日誌身份取自 token（device=9fe8d112…）</t>
        </is>
      </c>
      <c r="H87" s="13" t="inlineStr">
        <is>
          <t>da98048</t>
        </is>
      </c>
      <c r="I87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8" ht="74" customHeight="1">
      <c r="A88" s="13" t="inlineStr">
        <is>
          <t>2026-10-07 15:05</t>
        </is>
      </c>
      <c r="B88" s="13" t="inlineStr">
        <is>
          <t>P0-02</t>
        </is>
      </c>
      <c r="C88" s="6" t="inlineStr">
        <is>
          <t>收緊 conversations 表的 RLS</t>
        </is>
      </c>
      <c r="D88" s="13" t="inlineStr">
        <is>
          <t>進行中</t>
        </is>
      </c>
      <c r="E88" s="13" t="inlineStr">
        <is>
          <t>進行中</t>
        </is>
      </c>
      <c r="F88" s="13" t="n"/>
      <c r="G88" s="6" t="n"/>
      <c r="H88" s="13" t="n"/>
      <c r="I88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89" ht="74" customHeight="1">
      <c r="A89" s="13" t="inlineStr">
        <is>
          <t>2026-10-07 15:05</t>
        </is>
      </c>
      <c r="B89" s="13" t="inlineStr">
        <is>
          <t>P0-03</t>
        </is>
      </c>
      <c r="C89" s="6" t="inlineStr">
        <is>
          <t>收緊 users 表的 RLS</t>
        </is>
      </c>
      <c r="D89" s="13" t="inlineStr">
        <is>
          <t>進行中</t>
        </is>
      </c>
      <c r="E89" s="13" t="inlineStr">
        <is>
          <t>進行中</t>
        </is>
      </c>
      <c r="F89" s="13" t="n"/>
      <c r="G89" s="6" t="n"/>
      <c r="H89" s="13" t="n"/>
      <c r="I89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0" ht="74" customHeight="1">
      <c r="A90" s="13" t="inlineStr">
        <is>
          <t>2026-10-07 15:05</t>
        </is>
      </c>
      <c r="B90" s="13" t="inlineStr">
        <is>
          <t>P0-04</t>
        </is>
      </c>
      <c r="C90" s="6" t="inlineStr">
        <is>
          <t>收緊 devices 表的 RLS</t>
        </is>
      </c>
      <c r="D90" s="13" t="inlineStr">
        <is>
          <t>進行中</t>
        </is>
      </c>
      <c r="E90" s="13" t="inlineStr">
        <is>
          <t>進行中</t>
        </is>
      </c>
      <c r="F90" s="13" t="n"/>
      <c r="G90" s="6" t="n"/>
      <c r="H90" s="13" t="n"/>
      <c r="I90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1" ht="74" customHeight="1">
      <c r="A91" s="13" t="inlineStr">
        <is>
          <t>2026-10-07 15:05</t>
        </is>
      </c>
      <c r="B91" s="13" t="inlineStr">
        <is>
          <t>P0-05</t>
        </is>
      </c>
      <c r="C91" s="6" t="inlineStr">
        <is>
          <t>撤銷敏感表的多餘授權</t>
        </is>
      </c>
      <c r="D91" s="13" t="inlineStr">
        <is>
          <t>進行中</t>
        </is>
      </c>
      <c r="E91" s="13" t="inlineStr">
        <is>
          <t>進行中</t>
        </is>
      </c>
      <c r="F91" s="13" t="n"/>
      <c r="G91" s="6" t="n"/>
      <c r="H91" s="13" t="n"/>
      <c r="I91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2" ht="74" customHeight="1">
      <c r="A92" s="13" t="inlineStr">
        <is>
          <t>2026-10-07 15:05</t>
        </is>
      </c>
      <c r="B92" s="13" t="inlineStr">
        <is>
          <t>P0-06</t>
        </is>
      </c>
      <c r="C92" s="6" t="inlineStr">
        <is>
          <t>停止憑 MAC 發放永久用戶 JWT</t>
        </is>
      </c>
      <c r="D92" s="13" t="inlineStr">
        <is>
          <t>進行中</t>
        </is>
      </c>
      <c r="E92" s="13" t="inlineStr">
        <is>
          <t>進行中</t>
        </is>
      </c>
      <c r="F92" s="13" t="n"/>
      <c r="G92" s="6" t="n"/>
      <c r="H92" s="13" t="n"/>
      <c r="I92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3" ht="74" customHeight="1">
      <c r="A93" s="13" t="inlineStr">
        <is>
          <t>2026-10-07 15:05</t>
        </is>
      </c>
      <c r="B93" s="13" t="inlineStr">
        <is>
          <t>P0-08</t>
        </is>
      </c>
      <c r="C93" s="6" t="inlineStr">
        <is>
          <t>語音伺服器驗證設備身份（/ws/esp32）</t>
        </is>
      </c>
      <c r="D93" s="13" t="inlineStr">
        <is>
          <t>進行中</t>
        </is>
      </c>
      <c r="E93" s="13" t="inlineStr">
        <is>
          <t>進行中</t>
        </is>
      </c>
      <c r="F93" s="13" t="n"/>
      <c r="G93" s="6" t="n"/>
      <c r="H93" s="13" t="n"/>
      <c r="I93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4" ht="32" customHeight="1">
      <c r="A94" s="13" t="inlineStr">
        <is>
          <t>2026-10-07 15:06</t>
        </is>
      </c>
      <c r="B94" s="13" t="inlineStr">
        <is>
          <t>P2-01</t>
        </is>
      </c>
      <c r="C94" s="6" t="inlineStr">
        <is>
          <t>修好後端測試環境</t>
        </is>
      </c>
      <c r="D94" s="13" t="inlineStr">
        <is>
          <t>未開始</t>
        </is>
      </c>
      <c r="E94" s="13" t="inlineStr">
        <is>
          <t>進行中</t>
        </is>
      </c>
      <c r="F94" s="13" t="n"/>
      <c r="G94" s="6" t="n"/>
      <c r="H94" s="13" t="n"/>
      <c r="I94" s="6" t="n"/>
    </row>
    <row r="95" ht="88" customHeight="1">
      <c r="A95" s="13" t="inlineStr">
        <is>
          <t>2026-10-07 15:07</t>
        </is>
      </c>
      <c r="B95" s="13" t="inlineStr">
        <is>
          <t>P2-01</t>
        </is>
      </c>
      <c r="C95" s="6" t="inlineStr">
        <is>
          <t>修好後端測試環境</t>
        </is>
      </c>
      <c r="D95" s="13" t="inlineStr">
        <is>
          <t>進行中</t>
        </is>
      </c>
      <c r="E95" s="13" t="inlineStr">
        <is>
          <t>已完成</t>
        </is>
      </c>
      <c r="F95" s="13" t="inlineStr">
        <is>
          <t>通過</t>
        </is>
      </c>
      <c r="G95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H95" s="13" t="inlineStr">
        <is>
          <t>6641fa8</t>
        </is>
      </c>
      <c r="I95" s="6" t="inlineStr">
        <is>
          <t>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96" ht="32" customHeight="1">
      <c r="A96" s="13" t="inlineStr">
        <is>
          <t>2026-10-07 15:12</t>
        </is>
      </c>
      <c r="B96" s="13" t="inlineStr">
        <is>
          <t>P0-10</t>
        </is>
      </c>
      <c r="C96" s="6" t="inlineStr">
        <is>
          <t>生產環境關閉 /browser 測試頁與 /ws/browser</t>
        </is>
      </c>
      <c r="D96" s="13" t="inlineStr">
        <is>
          <t>未開始</t>
        </is>
      </c>
      <c r="E96" s="13" t="inlineStr">
        <is>
          <t>進行中</t>
        </is>
      </c>
      <c r="F96" s="13" t="n"/>
      <c r="G96" s="6" t="n"/>
      <c r="H96" s="13" t="n"/>
      <c r="I96" s="6" t="n"/>
    </row>
    <row r="97" ht="32" customHeight="1">
      <c r="A97" s="13" t="inlineStr">
        <is>
          <t>2026-10-07 15:12</t>
        </is>
      </c>
      <c r="B97" s="13" t="inlineStr">
        <is>
          <t>P0-16</t>
        </is>
      </c>
      <c r="C97" s="6" t="inlineStr">
        <is>
          <t>移除「醫生」身份與寫死的通關碼</t>
        </is>
      </c>
      <c r="D97" s="13" t="inlineStr">
        <is>
          <t>未開始</t>
        </is>
      </c>
      <c r="E97" s="13" t="inlineStr">
        <is>
          <t>進行中</t>
        </is>
      </c>
      <c r="F97" s="13" t="n"/>
      <c r="G97" s="6" t="n"/>
      <c r="H97" s="13" t="n"/>
      <c r="I97" s="6" t="n"/>
    </row>
    <row r="98" ht="88" customHeight="1">
      <c r="A98" s="13" t="inlineStr">
        <is>
          <t>2026-10-07 15:13</t>
        </is>
      </c>
      <c r="B98" s="13" t="inlineStr">
        <is>
          <t>P0-10</t>
        </is>
      </c>
      <c r="C98" s="6" t="inlineStr">
        <is>
          <t>生產環境關閉 /browser 測試頁與 /ws/browser</t>
        </is>
      </c>
      <c r="D98" s="13" t="inlineStr">
        <is>
          <t>進行中</t>
        </is>
      </c>
      <c r="E98" s="13" t="inlineStr">
        <is>
          <t>進行中</t>
        </is>
      </c>
      <c r="F98" s="13" t="inlineStr">
        <is>
          <t>通過</t>
        </is>
      </c>
      <c r="G98" s="6" t="inlineStr">
        <is>
          <t>pytest test_browser_test_routes.py 9 項通過（旗標未設/空/false/0/no → /browser 404、/ 404、/ws/browser 拒絕、/healthz 200；true/1/yes/TRUE → 頁面與路由恢復）；全套 182 passed。本機以生產設定實跑 uvicorn：GET / 404、/browser 404、/healthz 200、ws /ws/browser → HTTP 403</t>
        </is>
      </c>
      <c r="H98" s="13" t="inlineStr">
        <is>
          <t>d0cfbb8</t>
        </is>
      </c>
      <c r="I98" s="6" t="inlineStr">
        <is>
          <t>2026-10-07：本機 server/fastapi/.env 加 ENABLE_BROWSER_TEST=true 方便開發；線上不設。保持進行中：要隨下一批部署後在線上複測（GET https://elatoai.hkqft.com/fastapi/browser → 404）。</t>
        </is>
      </c>
    </row>
    <row r="99" ht="130" customHeight="1">
      <c r="A99" s="13" t="inlineStr">
        <is>
          <t>2026-10-07 15:22</t>
        </is>
      </c>
      <c r="B99" s="13" t="inlineStr">
        <is>
          <t>P0-16</t>
        </is>
      </c>
      <c r="C99" s="6" t="inlineStr">
        <is>
          <t>移除「醫生」身份與寫死的通關碼</t>
        </is>
      </c>
      <c r="D99" s="13" t="inlineStr">
        <is>
          <t>進行中</t>
        </is>
      </c>
      <c r="E99" s="13" t="inlineStr">
        <is>
          <t>進行中</t>
        </is>
      </c>
      <c r="F99" s="13" t="inlineStr">
        <is>
          <t>通過</t>
        </is>
      </c>
      <c r="G99" s="6" t="inlineStr">
        <is>
          <t>① grep checkDoctorAction/kiwi-subtle-emu/=== "doctor" → 0（以 staged 內容的乾淨 worktree 驗證）② tsc 通過；eslint(next/core-web-vitals) 改動檔 0 error（4 個 warning 為原有 hook 依賴）③ 本機新帳號實測：首頁只剩 Story/Children、無醫療/Santa/patient 字樣；onboarding 保存→ users 已更新、PATCH 204；設定頁正常。migration 20261007160000 本機：4 個 is_doctor 內建角色 is_hidden=true，authenticated UPDATE 欄位不再含 user_info</t>
        </is>
      </c>
      <c r="H99" s="13" t="inlineStr">
        <is>
          <t>3897269</t>
        </is>
      </c>
      <c r="I99" s="6" t="inlineStr">
        <is>
          <t>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100" ht="32" customHeight="1">
      <c r="A100" s="13" t="inlineStr">
        <is>
          <t>2026-10-07 15:29</t>
        </is>
      </c>
      <c r="B100" s="13" t="inlineStr">
        <is>
          <t>R-03</t>
        </is>
      </c>
      <c r="C100" s="6" t="inlineStr">
        <is>
          <t>移除不用的 Deno／Cloudflare 後端與上游預設主機</t>
        </is>
      </c>
      <c r="D100" s="13" t="inlineStr">
        <is>
          <t>未開始</t>
        </is>
      </c>
      <c r="E100" s="13" t="inlineStr">
        <is>
          <t>進行中</t>
        </is>
      </c>
      <c r="F100" s="13" t="n"/>
      <c r="G100" s="6" t="n"/>
      <c r="H100" s="13" t="n"/>
      <c r="I100" s="6" t="n"/>
    </row>
    <row r="101" ht="32" customHeight="1">
      <c r="A101" s="13" t="inlineStr">
        <is>
          <t>2026-10-07 15:29</t>
        </is>
      </c>
      <c r="B101" s="13" t="inlineStr">
        <is>
          <t>R-02</t>
        </is>
      </c>
      <c r="C101" s="6" t="inlineStr">
        <is>
          <t>角色收窄到 5–8 個粵語陪伴角色</t>
        </is>
      </c>
      <c r="D101" s="13" t="inlineStr">
        <is>
          <t>未開始</t>
        </is>
      </c>
      <c r="E101" s="13" t="inlineStr">
        <is>
          <t>進行中</t>
        </is>
      </c>
      <c r="F101" s="13" t="n"/>
      <c r="G101" s="6" t="n"/>
      <c r="H101" s="13" t="n"/>
      <c r="I101" s="6" t="n"/>
    </row>
    <row r="102" ht="102" customHeight="1">
      <c r="A102" s="13" t="inlineStr">
        <is>
          <t>2026-10-07 15:31</t>
        </is>
      </c>
      <c r="B102" s="13" t="inlineStr">
        <is>
          <t>R-03</t>
        </is>
      </c>
      <c r="C102" s="6" t="inlineStr">
        <is>
          <t>移除不用的 Deno／Cloudflare 後端與上游預設主機</t>
        </is>
      </c>
      <c r="D102" s="13" t="inlineStr">
        <is>
          <t>進行中</t>
        </is>
      </c>
      <c r="E102" s="13" t="inlineStr">
        <is>
          <t>已完成</t>
        </is>
      </c>
      <c r="F102" s="13" t="inlineStr">
        <is>
          <t>通過</t>
        </is>
      </c>
      <c r="G102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H102" s="13" t="inlineStr">
        <is>
          <t>c3c5249</t>
        </is>
      </c>
      <c r="I102" s="6" t="inlineStr">
        <is>
          <t>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103" ht="144" customHeight="1">
      <c r="A103" s="13" t="inlineStr">
        <is>
          <t>2026-10-07 15:31</t>
        </is>
      </c>
      <c r="B103" s="13" t="inlineStr">
        <is>
          <t>R-02</t>
        </is>
      </c>
      <c r="C103" s="6" t="inlineStr">
        <is>
          <t>角色收窄到 5–8 個粵語陪伴角色</t>
        </is>
      </c>
      <c r="D103" s="13" t="inlineStr">
        <is>
          <t>進行中</t>
        </is>
      </c>
      <c r="E103" s="13" t="inlineStr">
        <is>
          <t>進行中</t>
        </is>
      </c>
      <c r="F103" s="13" t="inlineStr">
        <is>
          <t>部分通過</t>
        </is>
      </c>
      <c r="G103" s="6" t="inlineStr">
        <is>
          <t>本地 DB 套 migration 20261007170000：① 未隱藏內建角色只剩 hk_ 6 個（40 個隱藏）② localhost:3100 以 seed 帳號登入，Children 頁只見 6 個新角色、Story 頁只見叮叮兔/咪咪貓 ③ 每角色 10 句粵語（用伺服器同一套 prompt 組裝）：gemma-4-26b 兩輪 132 句，128 句 ≤3 句且 ≤1 問，4 句輕微超（4 句或 2 問），無簡體/恐怖/拼字；minimax-m2.7 同測 66 句有 31 句超標並夾簡體、emoji、逐字母拼 apple → 不合格</t>
        </is>
      </c>
      <c r="H103" s="13" t="inlineStr">
        <is>
          <t>eeef046</t>
        </is>
      </c>
      <c r="I103" s="6" t="inlineStr">
        <is>
          <t>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</t>
        </is>
      </c>
    </row>
    <row r="104" ht="158" customHeight="1">
      <c r="A104" s="13" t="inlineStr">
        <is>
          <t>2026-10-07 15:31</t>
        </is>
      </c>
      <c r="B104" s="13" t="inlineStr">
        <is>
          <t>R-17</t>
        </is>
      </c>
      <c r="C104" s="6" t="inlineStr">
        <is>
          <t>Spotpear 電池耗盡時插電能否正常開機（供電路徑）</t>
        </is>
      </c>
      <c r="D104" s="13" t="inlineStr">
        <is>
          <t>未開始</t>
        </is>
      </c>
      <c r="E104" s="13" t="inlineStr">
        <is>
          <t>阻塞</t>
        </is>
      </c>
      <c r="F104" s="13" t="n"/>
      <c r="G104" s="6" t="n"/>
      <c r="H104" s="13" t="n"/>
      <c r="I104" s="6" t="inlineStr">
        <is>
          <t>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</t>
        </is>
      </c>
    </row>
    <row r="105" ht="88" customHeight="1">
      <c r="A105" s="13" t="inlineStr">
        <is>
          <t>2026-10-07 15:31</t>
        </is>
      </c>
      <c r="B105" s="13" t="inlineStr">
        <is>
          <t>R-16</t>
        </is>
      </c>
      <c r="C105" s="6" t="inlineStr">
        <is>
          <t>Spotpear 量產版加電池電壓檢測（GPIO0 分壓）</t>
        </is>
      </c>
      <c r="D105" s="13" t="inlineStr">
        <is>
          <t>未開始</t>
        </is>
      </c>
      <c r="E105" s="13" t="inlineStr">
        <is>
          <t>阻塞</t>
        </is>
      </c>
      <c r="F105" s="13" t="n"/>
      <c r="G105" s="6" t="n"/>
      <c r="H105" s="13" t="n"/>
      <c r="I105" s="6" t="inlineStr">
        <is>
          <t>仍按 10/06 決定暫緩：等用戶做充滿再放電測試（與 R-17 同一次），看 VDD 低電提醒在關機前多久觸發；太遲或不觸發才向 Spotpear 提改板。已把分壓改板的問題一併放進給 Spotpear 的草稿，方便同一封發出</t>
        </is>
      </c>
    </row>
    <row r="106" ht="172" customHeight="1">
      <c r="A106" s="13" t="inlineStr">
        <is>
          <t>2026-10-07 15:45</t>
        </is>
      </c>
      <c r="B106" s="13" t="inlineStr">
        <is>
          <t>R-02</t>
        </is>
      </c>
      <c r="C106" s="6" t="inlineStr">
        <is>
          <t>角色收窄到 5–8 個粵語陪伴角色</t>
        </is>
      </c>
      <c r="D106" s="13" t="inlineStr">
        <is>
          <t>進行中</t>
        </is>
      </c>
      <c r="E106" s="13" t="inlineStr">
        <is>
          <t>進行中</t>
        </is>
      </c>
      <c r="F106" s="13" t="inlineStr">
        <is>
          <t>通過</t>
        </is>
      </c>
      <c r="G106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H106" s="13" t="inlineStr">
        <is>
          <t>f72652b</t>
        </is>
      </c>
      <c r="I106" s="6" t="inlineStr">
        <is>
          <t>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107" ht="32" customHeight="1">
      <c r="A107" s="13" t="inlineStr">
        <is>
          <t>2026-10-07 15:45</t>
        </is>
      </c>
      <c r="B107" s="13" t="inlineStr">
        <is>
          <t>P2-10</t>
        </is>
      </c>
      <c r="C107" s="6" t="inlineStr">
        <is>
          <t>DeepSeek v4 flash 經 OpenRouter 時固定可用的供應商</t>
        </is>
      </c>
      <c r="E107" s="13" t="inlineStr">
        <is>
          <t>未開始</t>
        </is>
      </c>
      <c r="I107" s="6" t="inlineStr">
        <is>
          <t>新增任務</t>
        </is>
      </c>
    </row>
    <row r="108" ht="32" customHeight="1">
      <c r="A108" s="13" t="inlineStr">
        <is>
          <t>2026-10-07 15:51</t>
        </is>
      </c>
      <c r="B108" s="13" t="inlineStr">
        <is>
          <t>P0-09</t>
        </is>
      </c>
      <c r="C108" s="6" t="inlineStr">
        <is>
          <t>瀏覽器語音路由改用簽名 token（/ws/nextjs）</t>
        </is>
      </c>
      <c r="D108" s="13" t="inlineStr">
        <is>
          <t>未開始</t>
        </is>
      </c>
      <c r="E108" s="13" t="inlineStr">
        <is>
          <t>進行中</t>
        </is>
      </c>
      <c r="F108" s="13" t="n"/>
      <c r="G108" s="6" t="n"/>
      <c r="H108" s="13" t="n"/>
      <c r="I108" s="6" t="n"/>
    </row>
    <row r="109" ht="130" customHeight="1">
      <c r="A109" s="13" t="inlineStr">
        <is>
          <t>2026-10-07 16:07</t>
        </is>
      </c>
      <c r="B109" s="13" t="inlineStr">
        <is>
          <t>P0-09</t>
        </is>
      </c>
      <c r="C109" s="6" t="inlineStr">
        <is>
          <t>瀏覽器語音路由改用簽名 token（/ws/nextjs）</t>
        </is>
      </c>
      <c r="D109" s="13" t="inlineStr">
        <is>
          <t>進行中</t>
        </is>
      </c>
      <c r="E109" s="13" t="inlineStr">
        <is>
          <t>進行中</t>
        </is>
      </c>
      <c r="F109" s="13" t="inlineStr">
        <is>
          <t>通過</t>
        </is>
      </c>
      <c r="G109" s="6" t="inlineStr">
        <is>
          <t>pytest test_device_auth.py 42 項（+12：web token、Node 簽的 web token、設備 token 不能開網頁、/ws/nextjs 只帶 user_id／設備 token／過期 → 4401、偽造 user_id 與 prompt 被忽略），全套 194 passed。本機實測：瀏覽器選嘟嘟龍按咪 → server action 簽 5 分鐘 token、URL 只有 token；用同一 token 加 admin 的 user_id 與偽造 prompt 連線 → 仍是測試帳號＋嘟嘟龍，對話兩行寫入測試帳號（ip house），admin 無寫入；記憶 session 開始與結束都對應測試帳號</t>
        </is>
      </c>
      <c r="H109" s="13" t="inlineStr">
        <is>
          <t>af99fdf</t>
        </is>
      </c>
      <c r="I109" s="6" t="inlineStr">
        <is>
          <t>2026-10-07：沿用 DEVICE_JWT_SECRET，以 aud/typ 區分。網頁與語音伺服器須同時上新版。保持進行中：隨下一批部署後線上複測。</t>
        </is>
      </c>
    </row>
    <row r="110" ht="32" customHeight="1">
      <c r="A110" s="13" t="inlineStr">
        <is>
          <t>2026-10-07 16:28</t>
        </is>
      </c>
      <c r="B110" s="13" t="inlineStr">
        <is>
          <t>P0-12</t>
        </is>
      </c>
      <c r="C110" s="6" t="inlineStr">
        <is>
          <t>收緊 Admin 權限與路由保護</t>
        </is>
      </c>
      <c r="D110" s="13" t="inlineStr">
        <is>
          <t>未開始</t>
        </is>
      </c>
      <c r="E110" s="13" t="inlineStr">
        <is>
          <t>進行中</t>
        </is>
      </c>
      <c r="F110" s="13" t="n"/>
      <c r="G110" s="6" t="n"/>
      <c r="H110" s="13" t="n"/>
      <c r="I110" s="6" t="n"/>
    </row>
    <row r="111" ht="116" customHeight="1">
      <c r="A111" s="13" t="inlineStr">
        <is>
          <t>2026-10-07 16:28</t>
        </is>
      </c>
      <c r="B111" s="13" t="inlineStr">
        <is>
          <t>P0-12</t>
        </is>
      </c>
      <c r="C111" s="6" t="inlineStr">
        <is>
          <t>收緊 Admin 權限與路由保護</t>
        </is>
      </c>
      <c r="D111" s="13" t="inlineStr">
        <is>
          <t>進行中</t>
        </is>
      </c>
      <c r="E111" s="13" t="inlineStr">
        <is>
          <t>進行中</t>
        </is>
      </c>
      <c r="F111" s="13" t="inlineStr">
        <is>
          <t>通過</t>
        </is>
      </c>
      <c r="G111" s="6" t="inlineStr">
        <is>
          <t>本機 REST＋真 GoTrue/TOTP 44/44：①家長 has_role=false、寫角色/app_settings/授權皆 42501，直接 POST server action 不生效；②內容管理員 aal2 可建/改/下架內建角色與 IP，改模型、授權、讀 turn_metrics 被拒；③aal1 管理員 has_role=false、/admin→/admin/mfa；④超管與內容管理員 aal2 讀他戶 conversations 410/memory_facts/segments/memories 皆 0 行；⑤未登入 /home→/login</t>
        </is>
      </c>
      <c r="H111" s="13" t="inlineStr">
        <is>
          <t>f7af39d</t>
        </is>
      </c>
      <c r="I111" s="6" t="inlineStr">
        <is>
          <t>2026-10-07 本機驗證通過，未部署。上線前：生產 GoTrue 開 TOTP（GOTRUE_MFA_TOTP_ENROLL/VERIFY_ENABLED=true）、套 20261007140000+180000、手動 INSERT 第一個 super_admin；P0-17（anon key 是否 secret）未解前 ④ 在生產不成立</t>
        </is>
      </c>
    </row>
    <row r="112" ht="60" customHeight="1">
      <c r="A112" s="13" t="inlineStr">
        <is>
          <t>2026-10-07 16:28</t>
        </is>
      </c>
      <c r="B112" s="13" t="inlineStr">
        <is>
          <t>P0-15</t>
        </is>
      </c>
      <c r="C112" s="6" t="inlineStr">
        <is>
          <t>角色表權限：只有內容管理員能發佈，關閉家長自建角色</t>
        </is>
      </c>
      <c r="D112" s="13" t="inlineStr">
        <is>
          <t>進行中</t>
        </is>
      </c>
      <c r="E112" s="13" t="inlineStr">
        <is>
          <t>進行中</t>
        </is>
      </c>
      <c r="F112" s="13" t="n"/>
      <c r="G112" s="6" t="n"/>
      <c r="H112" s="13" t="n"/>
      <c r="I112" s="6" t="inlineStr">
        <is>
          <t>2026-10-07 已 merge 進 modes-and-ips（55df0a1）；③ 經 P0-12 本機驗證：內容管理員 aal2 經 /admin 新增、修改、下架內建角色成功。② 仍未做</t>
        </is>
      </c>
    </row>
    <row r="113" ht="88" customHeight="1">
      <c r="A113" s="13" t="inlineStr">
        <is>
          <t>2026-10-07 17:13</t>
        </is>
      </c>
      <c r="B113" s="13" t="inlineStr">
        <is>
          <t>P0-15</t>
        </is>
      </c>
      <c r="C113" s="6" t="inlineStr">
        <is>
          <t>角色表權限：只有內容管理員能發佈，關閉家長自建角色</t>
        </is>
      </c>
      <c r="D113" s="13" t="inlineStr">
        <is>
          <t>進行中</t>
        </is>
      </c>
      <c r="E113" s="13" t="inlineStr">
        <is>
          <t>進行中</t>
        </is>
      </c>
      <c r="F113" s="13" t="inlineStr">
        <is>
          <t>部分通過</t>
        </is>
      </c>
      <c r="G113" s="6" t="inlineStr">
        <is>
          <t>② 本機 psql SET ROLE（交易後 ROLLBACK）：anon 見已發佈內建 6、隱藏 0、家長自建 0；家長 A 見自己的角色（含隱藏的自己的）、不見 B 的、不見 40 個隱藏內建；內容管理員 aal2 見 40 個隱藏內建、不見 B 的角色。①③ 先前已過。④ /home/create 仍是 redirect /home，這次沒在瀏覽器重測。</t>
        </is>
      </c>
      <c r="H113" s="13" t="inlineStr">
        <is>
          <t>1d65398</t>
        </is>
      </c>
      <c r="I113" s="6" t="inlineStr">
        <is>
          <t>2026-10-07 migration 20261007190000 已在本機套用，未部署。家長自己建立的角色（含 is_hidden）仍可讀，符合驗收「自己建立的角色」；讀不到的是隱藏內建與別人自建。</t>
        </is>
      </c>
    </row>
    <row r="114" ht="74" customHeight="1">
      <c r="A114" s="13" t="inlineStr">
        <is>
          <t>2026-10-07 17:49</t>
        </is>
      </c>
      <c r="B114" s="13" t="inlineStr">
        <is>
          <t>P0-12</t>
        </is>
      </c>
      <c r="C114" s="6" t="inlineStr">
        <is>
          <t>收緊 Admin 權限與路由保護</t>
        </is>
      </c>
      <c r="D114" s="13" t="inlineStr">
        <is>
          <t>進行中</t>
        </is>
      </c>
      <c r="E114" s="13" t="inlineStr">
        <is>
          <t>進行中</t>
        </is>
      </c>
      <c r="F114" s="13" t="n"/>
      <c r="G114" s="6" t="n"/>
      <c r="H114" s="13" t="n"/>
      <c r="I114" s="6" t="inlineStr">
        <is>
          <t>2026-10-07 用戶決定取消 TOTP：管理員只看帳號角色，登入後可直接進 /admin。has_role() 不再要求 aal2（20261007191000）。；修改了驗收標準、測試方法</t>
        </is>
      </c>
    </row>
    <row r="115" ht="158" customHeight="1">
      <c r="A115" s="13" t="inlineStr">
        <is>
          <t>2026-10-07 21:39</t>
        </is>
      </c>
      <c r="B115" s="13" t="inlineStr">
        <is>
          <t>P0-12</t>
        </is>
      </c>
      <c r="C115" s="6" t="inlineStr">
        <is>
          <t>收緊 Admin 權限與路由保護</t>
        </is>
      </c>
      <c r="D115" s="13" t="inlineStr">
        <is>
          <t>進行中</t>
        </is>
      </c>
      <c r="E115" s="13" t="inlineStr">
        <is>
          <t>進行中</t>
        </is>
      </c>
      <c r="F115" s="13" t="inlineStr">
        <is>
          <t>通過</t>
        </is>
      </c>
      <c r="G115" s="6" t="inlineStr">
        <is>
          <t>本機 REST＋server action＋頁面 61/61（全部 aal1 密碼登入，無 TOTP）：①家長 has_role=false，寫角色/app_settings/授權 42501，GET /admin→/home，直接 POST 3 個 action 均不生效；②內容管理員可建/改/下架內建角色與 IP、action 改角色成功，改模型/授權/名單/turn_metrics/openrouter API 均拒；超管可改模型（action 與 REST）、授權/撤權即時生效、不能撤自己；已綁驗證器的管理員密碼登入可進 /admin，/admin/mfa 404；③超管與內容管理員讀他戶 conversations 410/memory_facts/segments/memories 皆 0 行；④未登入 /home、/admin→/login；tsc 通過</t>
        </is>
      </c>
      <c r="H115" s="13" t="inlineStr">
        <is>
          <t>c16e1c2</t>
        </is>
      </c>
      <c r="I115" s="6" t="inlineStr">
        <is>
          <t>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  <row r="116" ht="32" customHeight="1">
      <c r="A116" s="13" t="inlineStr">
        <is>
          <t>2026-10-07 21:47</t>
        </is>
      </c>
      <c r="B116" s="13" t="inlineStr">
        <is>
          <t>P2-10</t>
        </is>
      </c>
      <c r="C116" s="6" t="inlineStr">
        <is>
          <t>DeepSeek v4 flash 經 OpenRouter 時固定可用的供應商</t>
        </is>
      </c>
      <c r="D116" s="13" t="inlineStr">
        <is>
          <t>未開始</t>
        </is>
      </c>
      <c r="E116" s="13" t="inlineStr">
        <is>
          <t>進行中</t>
        </is>
      </c>
      <c r="F116" s="13" t="n"/>
      <c r="G116" s="6" t="n"/>
      <c r="H116" s="13" t="n"/>
      <c r="I116" s="6" t="n"/>
    </row>
    <row r="117" ht="144" customHeight="1">
      <c r="A117" s="13" t="inlineStr">
        <is>
          <t>2026-10-07 22:04</t>
        </is>
      </c>
      <c r="B117" s="13" t="inlineStr">
        <is>
          <t>P2-10</t>
        </is>
      </c>
      <c r="C117" s="6" t="inlineStr">
        <is>
          <t>DeepSeek v4 flash 經 OpenRouter 時固定可用的供應商</t>
        </is>
      </c>
      <c r="D117" s="13" t="inlineStr">
        <is>
          <t>進行中</t>
        </is>
      </c>
      <c r="E117" s="13" t="inlineStr">
        <is>
          <t>進行中</t>
        </is>
      </c>
      <c r="F117" s="13" t="inlineStr">
        <is>
          <t>部分通過</t>
        </is>
      </c>
      <c r="G117" s="6" t="inlineStr">
        <is>
          <t>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</t>
        </is>
      </c>
      <c r="H117" s="13" t="inlineStr">
        <is>
          <t>58bc82b</t>
        </is>
      </c>
      <c r="I117" s="6" t="inlineStr">
        <is>
          <t>2026-10-07 58bc82b（分支 p2-10-provider-pinning，未合併、未部署）。上線後在管理頁設 provider_order=azure,alibaba,novita,siliconflow,gmicloud（或繼續用 gemma）。Azure 20 次中 1 次把孩子叫成「小柔」（prompt 無此名），屬模型偶發，非供應商問題</t>
        </is>
      </c>
    </row>
    <row r="118" ht="32" customHeight="1">
      <c r="A118" s="13" t="inlineStr">
        <is>
          <t>2026-10-07 22:06</t>
        </is>
      </c>
      <c r="B118" s="13" t="inlineStr">
        <is>
          <t>P0-13</t>
        </is>
      </c>
      <c r="C118" s="6" t="inlineStr">
        <is>
          <t>讓 OTA 真正可用並能回滾</t>
        </is>
      </c>
      <c r="D118" s="13" t="inlineStr">
        <is>
          <t>未開始</t>
        </is>
      </c>
      <c r="E118" s="13" t="inlineStr">
        <is>
          <t>進行中</t>
        </is>
      </c>
      <c r="F118" s="13" t="n"/>
      <c r="G118" s="6" t="n"/>
      <c r="H118" s="13" t="n"/>
      <c r="I118" s="6" t="n"/>
    </row>
    <row r="119" ht="130" customHeight="1">
      <c r="A119" s="13" t="inlineStr">
        <is>
          <t>2026-10-08 09:04</t>
        </is>
      </c>
      <c r="B119" s="13" t="inlineStr">
        <is>
          <t>P0-13</t>
        </is>
      </c>
      <c r="C119" s="6" t="inlineStr">
        <is>
          <t>讓 OTA 真正可用並能回滾</t>
        </is>
      </c>
      <c r="D119" s="13" t="inlineStr">
        <is>
          <t>進行中</t>
        </is>
      </c>
      <c r="E119" s="13" t="inlineStr">
        <is>
          <t>進行中</t>
        </is>
      </c>
      <c r="F119" s="13" t="inlineStr">
        <is>
          <t>部分通過</t>
        </is>
      </c>
      <c r="G119" s="6" t="inlineStr">
        <is>
          <t>本機：firmware_releases + 私有 bucket + /api/ota/check + /api/ota/firmware/[id]，API 16/16（無 token/web token/過期 → 401；只提供本板 current release；下載 1654400 bytes 與 build sha256 一致；回滾過的版本不再提供並記在 devices）；release_firmware.py 拒 localws build、拒重複版本；pio 18 個 env 全 SUCCESS，spotpear 1.58MB/2MB；Arduino 2.0.17 bootloader 已開 CONFIG_BOOTLOADER_APP_ROLLBACK_ENABLE（C3/S3）。①② 實機未做</t>
        </is>
      </c>
      <c r="H119" s="13" t="inlineStr">
        <is>
          <t>b27cc07</t>
        </is>
      </c>
      <c r="I119" s="6" t="inlineStr">
        <is>
          <t>2026-10-08 b27cc07（分支 p0-13-ota）。部署時要套 20261008100000_firmware_releases.sql，發佈要用 SUPABASE_URL+service key 跑 tools/release_firmware.py</t>
        </is>
      </c>
    </row>
    <row r="120" ht="144" customHeight="1">
      <c r="A120" s="13" t="inlineStr">
        <is>
          <t>2026-10-08 09:30</t>
        </is>
      </c>
      <c r="B120" s="13" t="inlineStr">
        <is>
          <t>P0-13</t>
        </is>
      </c>
      <c r="C120" s="6" t="inlineStr">
        <is>
          <t>讓 OTA 真正可用並能回滾</t>
        </is>
      </c>
      <c r="D120" s="13" t="inlineStr">
        <is>
          <t>進行中</t>
        </is>
      </c>
      <c r="E120" s="13" t="inlineStr">
        <is>
          <t>進行中</t>
        </is>
      </c>
      <c r="F120" s="13" t="inlineStr">
        <is>
          <t>通過</t>
        </is>
      </c>
      <c r="G120" s="6" t="inlineStr">
        <is>
          <t>實機開發板 63:64（localall，本機後端）：① 1.1.0→1.2.1 OTA 下載 14s、sha256 過、重啟到 app1 試用、連上語音伺服器後穩定 120s 才 confirmed、開場白播完、devices 記 1.2.1 ② 推開機 3s 崩潰的 1.2.2：安裝→崩潰→bootloader 1s 內回到 1.2.1『rolled back from 1.2.2』→上報 ota_failed_version=1.2.2→再重啟不再下載。過程中測出並修好 2 個 bug：收到 auth 即確認太早（1.0.2 確認後崩潰循環，887b769 改為穩定 2 分鐘）；millis()|1 計時繞回導致誤回滾（3a874dd）。API 16/16，pio 全 env 通過</t>
        </is>
      </c>
      <c r="H120" s="13" t="inlineStr">
        <is>
          <t>3a874dd</t>
        </is>
      </c>
      <c r="I120" s="6" t="inlineStr">
        <is>
          <t>2026-10-08 實機①②通過，未部署。上線要：套 20261008100000、部署前端、用 release_firmware.py 發佈正式 build；生產 HTTPS（同 CF CA）的 1.6MB 下載尚未在線上驗證。開發板現跑 1.2.1 localall。未做：已確認版本日後若崩潰循環不會自動切回舊槽，需 USB 救（可另立任務）</t>
        </is>
      </c>
    </row>
    <row r="121" ht="144" customHeight="1">
      <c r="A121" s="13" t="inlineStr">
        <is>
          <t>2026-10-08 09:45</t>
        </is>
      </c>
      <c r="B121" s="13" t="inlineStr">
        <is>
          <t>P0-13</t>
        </is>
      </c>
      <c r="C121" s="6" t="inlineStr">
        <is>
          <t>讓 OTA 真正可用並能回滾</t>
        </is>
      </c>
      <c r="D121" s="13" t="inlineStr">
        <is>
          <t>進行中</t>
        </is>
      </c>
      <c r="E121" s="13" t="inlineStr">
        <is>
          <t>進行中</t>
        </is>
      </c>
      <c r="F121" s="13" t="n"/>
      <c r="G121" s="6" t="n"/>
      <c r="H121" s="13" t="inlineStr">
        <is>
          <t>68b9550</t>
        </is>
      </c>
      <c r="I121" s="6" t="inlineStr">
        <is>
          <t>2026-10-08 OTA 檢查併入 /api/generate_auth_token（68b9550），開機回到一次 TLS 握手；/api/ota/check 移除。token 路徑 API 11/11（舊韌體無 ota、格式錯仍發 token、回滾版本不再提供）；實機 1.3.0→1.3.1 經 token 回應安裝、試用、播完開場白、120s 確認。第一次升級 1.3.1 被 async_tcp 任務看門狗觸發重啟並正確回滾——是既有韌體 bug，見新任務</t>
        </is>
      </c>
    </row>
    <row r="122" ht="32" customHeight="1">
      <c r="A122" s="13" t="inlineStr">
        <is>
          <t>2026-10-08 09:45</t>
        </is>
      </c>
      <c r="B122" s="13" t="inlineStr">
        <is>
          <t>P2-11</t>
        </is>
      </c>
      <c r="C122" s="6" t="inlineStr">
        <is>
          <t>C3 播放時 async_tcp 觸發任務看門狗重啟</t>
        </is>
      </c>
      <c r="E122" s="13" t="inlineStr">
        <is>
          <t>未開始</t>
        </is>
      </c>
      <c r="I122" s="6" t="inlineStr">
        <is>
          <t>新增任務</t>
        </is>
      </c>
    </row>
  </sheetData>
  <autoFilter ref="A1:I12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2026-10-05T01:40:12Z</dcterms:created>
  <dcterms:modified xmlns:dcterms="http://purl.org/dc/terms/" xmlns:xsi="http://www.w3.org/2001/XMLSchema-instance" xsi:type="dcterms:W3CDTF">2026-10-08T01:45:03Z</dcterms:modified>
</cp:coreProperties>
</file>