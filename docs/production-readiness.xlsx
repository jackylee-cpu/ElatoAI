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'任務清單'!$A$1:$P$95</definedName>
    <definedName name="_xlnm._FilterDatabase" localSheetId="2" hidden="1">'待確認問題'!$A$1:$G$14</definedName>
    <definedName name="_xlnm._FilterDatabase" localSheetId="3" hidden="1">'更新記錄'!$A$1:$I$307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09:48　·　本頁由 tracker.py 自動生成，請勿手動編輯</t>
        </is>
      </c>
    </row>
    <row r="3">
      <c r="A3" s="3" t="inlineStr">
        <is>
          <t>總進度：25/90 已完成（28%）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22</v>
      </c>
      <c r="D8" s="7">
        <f>COUNTIFS('任務清單'!$B:$B,$A8,'任務清單'!$F:$F,D$5)</f>
        <v>7</v>
      </c>
      <c r="E8" s="7">
        <f>COUNTIFS('任務清單'!$B:$B,$A8,'任務清單'!$F:$F,E$5)</f>
        <v>5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0.45454545454545453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94</v>
      </c>
      <c r="D10" s="5">
        <f>SUM(D6:D9)</f>
        <v>45</v>
      </c>
      <c r="E10" s="5">
        <f>SUM(E6:E9)</f>
        <v>15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0.2777777777777778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14</v>
      </c>
      <c r="E14" s="7">
        <f>COUNTIFS('任務清單'!$C:$C,$A14,'任務清單'!$F:$F,E$12)</f>
        <v>7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0.30303030303030304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28</v>
      </c>
      <c r="D15" s="7">
        <f>COUNTIFS('任務清單'!$C:$C,$A15,'任務清單'!$F:$F,D$12)</f>
        <v>22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94</v>
      </c>
      <c r="D17" s="5">
        <f>SUM(D13:D16)</f>
        <v>45</v>
      </c>
      <c r="E17" s="5">
        <f>SUM(E13:E16)</f>
        <v>15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0.2777777777777778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00" customHeight="1">
      <c r="A31" s="13" t="inlineStr">
        <is>
          <t>R-21</t>
        </is>
      </c>
      <c r="B31" s="6" t="inlineStr">
        <is>
          <t>藍牙配網與綁定（取代熱點配網）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1" s="11" t="n"/>
      <c r="G31" s="11" t="n"/>
      <c r="H31" s="11" t="n"/>
      <c r="I31" s="12" t="n"/>
    </row>
    <row r="32" ht="256" customHeight="1">
      <c r="A32" s="13" t="inlineStr">
        <is>
          <t>R-36</t>
        </is>
      </c>
      <c r="B32" s="6" t="inlineStr">
        <is>
          <t>未認領的設備停在配對狀態，不再每秒重連 websocket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P2-12</t>
        </is>
      </c>
      <c r="B33" s="6" t="inlineStr">
        <is>
          <t>量產燒錄前加大 app 分區</t>
        </is>
      </c>
      <c r="C33" s="13" t="inlineStr">
        <is>
          <t>3 封閉內測</t>
        </is>
      </c>
      <c r="D33" s="13" t="inlineStr">
        <is>
          <t>進行中</t>
        </is>
      </c>
      <c r="E33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3" s="11" t="n"/>
      <c r="G33" s="11" t="n"/>
      <c r="H33" s="11" t="n"/>
      <c r="I33" s="12" t="n"/>
    </row>
    <row r="34" ht="409" customHeight="1">
      <c r="A34" s="13" t="inlineStr">
        <is>
          <t>P2-22</t>
        </is>
      </c>
      <c r="B34" s="6" t="inlineStr">
        <is>
          <t>改服務器網址也不失聯：語音網址由後端下發、後端網址可遷移、已確認韌體長期連不上時自救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4" s="11" t="n"/>
      <c r="G34" s="11" t="n"/>
      <c r="H34" s="11" t="n"/>
      <c r="I34" s="12" t="n"/>
    </row>
    <row r="35" ht="242" customHeight="1">
      <c r="A35" s="13" t="inlineStr">
        <is>
          <t>R-37</t>
        </is>
      </c>
      <c r="B35" s="6" t="inlineStr">
        <is>
          <t>網頁設定玩具的 Wi-Fi：查看、新增、刪除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5" s="11" t="n"/>
      <c r="G35" s="11" t="n"/>
      <c r="H35" s="11" t="n"/>
      <c r="I35" s="12" t="n"/>
    </row>
    <row r="36" ht="102" customHeight="1">
      <c r="A36" s="13" t="inlineStr">
        <is>
          <t>R-16</t>
        </is>
      </c>
      <c r="B36" s="6" t="inlineStr">
        <is>
          <t>Spotpear 量產版加電池電壓檢測（GPIO0 分壓）</t>
        </is>
      </c>
      <c r="C36" s="13" t="inlineStr">
        <is>
          <t>1 止血定案</t>
        </is>
      </c>
      <c r="D36" s="13" t="inlineStr">
        <is>
          <t>未開始</t>
        </is>
      </c>
      <c r="E36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P1-11</t>
        </is>
      </c>
      <c r="B37" s="6" t="inlineStr">
        <is>
          <t>伺服器與資料庫直接存取的管控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P2-02</t>
        </is>
      </c>
      <c r="B38" s="6" t="inlineStr">
        <is>
          <t>CI 跑測試與靜態檢查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推送與 PR 時跑 pytest、ruff、pyright、next lint、tsc --noEmit、pio run；任何一項失敗就不發佈 image。</t>
        </is>
      </c>
      <c r="F38" s="11" t="n"/>
      <c r="G38" s="11" t="n"/>
      <c r="H38" s="11" t="n"/>
      <c r="I38" s="12" t="n"/>
    </row>
    <row r="39" ht="32" customHeight="1">
      <c r="A39" s="13" t="inlineStr">
        <is>
          <t>P2-04</t>
        </is>
      </c>
      <c r="B39" s="6" t="inlineStr">
        <is>
          <t>容器改用非 root 用戶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兩個 Dockerfile 都設定非 root 的 USER。</t>
        </is>
      </c>
      <c r="F39" s="11" t="n"/>
      <c r="G39" s="11" t="n"/>
      <c r="H39" s="11" t="n"/>
      <c r="I39" s="12" t="n"/>
    </row>
    <row r="40" ht="46" customHeight="1">
      <c r="A40" s="13" t="inlineStr">
        <is>
          <t>R-04</t>
        </is>
      </c>
      <c r="B40" s="6" t="inlineStr">
        <is>
          <t>粵語質量評測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0" s="11" t="n"/>
      <c r="G40" s="11" t="n"/>
      <c r="H40" s="11" t="n"/>
      <c r="I40" s="12" t="n"/>
    </row>
    <row r="41" ht="116" customHeight="1">
      <c r="A41" s="13" t="inlineStr">
        <is>
          <t>R-25</t>
        </is>
      </c>
      <c r="B41" s="6" t="inlineStr">
        <is>
          <t>網頁的品牌主題系統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1" s="11" t="n"/>
      <c r="G41" s="11" t="n"/>
      <c r="H41" s="11" t="n"/>
      <c r="I41" s="12" t="n"/>
    </row>
    <row r="43">
      <c r="A43" s="10" t="inlineStr">
        <is>
          <t>✅ 最近完成與測試效果</t>
        </is>
      </c>
    </row>
    <row r="44">
      <c r="A44" s="4" t="inlineStr">
        <is>
          <t>編號</t>
        </is>
      </c>
      <c r="B44" s="4" t="inlineStr">
        <is>
          <t>任務</t>
        </is>
      </c>
      <c r="C44" s="4" t="inlineStr">
        <is>
          <t>測試結果</t>
        </is>
      </c>
      <c r="D44" s="4" t="inlineStr">
        <is>
          <t>完成日期</t>
        </is>
      </c>
      <c r="E44" s="4" t="inlineStr">
        <is>
          <t>測試證據</t>
        </is>
      </c>
      <c r="F44" s="11" t="n"/>
      <c r="G44" s="11" t="n"/>
      <c r="H44" s="11" t="n"/>
      <c r="I44" s="12" t="n"/>
    </row>
    <row r="45" ht="88" customHeight="1">
      <c r="A45" s="13" t="inlineStr">
        <is>
          <t>P2-21</t>
        </is>
      </c>
      <c r="B45" s="6" t="inlineStr">
        <is>
          <t>P2-16 ⑤ 後台 OTA 頁換成真實數據與操作</t>
        </is>
      </c>
      <c r="C45" s="13" t="inlineStr">
        <is>
          <t>通過</t>
        </is>
      </c>
      <c r="D45" s="13" t="inlineStr">
        <is>
          <t>2026-10-15</t>
        </is>
      </c>
      <c r="E45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5" s="11" t="n"/>
      <c r="G45" s="11" t="n"/>
      <c r="H45" s="11" t="n"/>
      <c r="I45" s="12" t="n"/>
    </row>
    <row r="46" ht="158" customHeight="1">
      <c r="A46" s="13" t="inlineStr">
        <is>
          <t>P2-16</t>
        </is>
      </c>
      <c r="B46" s="6" t="inlineStr">
        <is>
          <t>OTA 分批推送與後台發佈頁</t>
        </is>
      </c>
      <c r="C46" s="13" t="inlineStr">
        <is>
          <t>通過</t>
        </is>
      </c>
      <c r="D46" s="13" t="inlineStr">
        <is>
          <t>2026-10-15</t>
        </is>
      </c>
      <c r="E46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6" s="11" t="n"/>
      <c r="G46" s="11" t="n"/>
      <c r="H46" s="11" t="n"/>
      <c r="I46" s="12" t="n"/>
    </row>
    <row r="47" ht="144" customHeight="1">
      <c r="A47" s="13" t="inlineStr">
        <is>
          <t>P2-14</t>
        </is>
      </c>
      <c r="B47" s="6" t="inlineStr">
        <is>
          <t>Admin 設備頁：每台玩具的狀態、韌體與基本操作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7" s="11" t="n"/>
      <c r="G47" s="11" t="n"/>
      <c r="H47" s="11" t="n"/>
      <c r="I47" s="12" t="n"/>
    </row>
    <row r="48" ht="214" customHeight="1">
      <c r="A48" s="13" t="inlineStr">
        <is>
          <t>P2-20</t>
        </is>
      </c>
      <c r="B48" s="6" t="inlineStr">
        <is>
          <t>P2-16 ④ 從後台上傳與發佈韌體（取代手貼 service key）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8" s="11" t="n"/>
      <c r="G48" s="11" t="n"/>
      <c r="H48" s="11" t="n"/>
      <c r="I48" s="12" t="n"/>
    </row>
    <row r="49" ht="158" customHeight="1">
      <c r="A49" s="13" t="inlineStr">
        <is>
          <t>P2-19</t>
        </is>
      </c>
      <c r="B49" s="6" t="inlineStr">
        <is>
          <t>P2-16 ③ 回滾過多時自動暫停推送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9" s="11" t="n"/>
      <c r="G49" s="11" t="n"/>
      <c r="H49" s="11" t="n"/>
      <c r="I49" s="12" t="n"/>
    </row>
    <row r="50" ht="200" customHeight="1">
      <c r="A50" s="13" t="inlineStr">
        <is>
          <t>P2-18</t>
        </is>
      </c>
      <c r="B50" s="6" t="inlineStr">
        <is>
          <t>P2-16 ② 按 MAC 雜湊穩定分組決定哪台收到 ota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0" s="11" t="n"/>
      <c r="G50" s="11" t="n"/>
      <c r="H50" s="11" t="n"/>
      <c r="I50" s="12" t="n"/>
    </row>
    <row r="51" ht="172" customHeight="1">
      <c r="A51" s="13" t="inlineStr">
        <is>
          <t>P2-17</t>
        </is>
      </c>
      <c r="B51" s="6" t="inlineStr">
        <is>
          <t>P2-16 ① 分批推送的數據表：推送階段、白名單、每台安裝結果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1" s="11" t="n"/>
      <c r="G51" s="11" t="n"/>
      <c r="H51" s="11" t="n"/>
      <c r="I51" s="12" t="n"/>
    </row>
    <row r="52" ht="116" customHeight="1">
      <c r="A52" s="13" t="inlineStr">
        <is>
          <t>R-41</t>
        </is>
      </c>
      <c r="B52" s="6" t="inlineStr">
        <is>
          <t>App 顯示玩具電量狀態（低電量提示）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2" s="11" t="n"/>
      <c r="G52" s="11" t="n"/>
      <c r="H52" s="11" t="n"/>
      <c r="I52" s="12" t="n"/>
    </row>
    <row r="54">
      <c r="A54" s="10" t="inlineStr">
        <is>
          <t>⏳ 等待依賴 / ⛔ 阻塞</t>
        </is>
      </c>
    </row>
    <row r="55">
      <c r="A55" s="4" t="inlineStr">
        <is>
          <t>編號</t>
        </is>
      </c>
      <c r="B55" s="4" t="inlineStr">
        <is>
          <t>任務</t>
        </is>
      </c>
      <c r="C55" s="4" t="inlineStr">
        <is>
          <t>在等什麼</t>
        </is>
      </c>
      <c r="D55" s="11" t="n"/>
      <c r="E55" s="11" t="n"/>
      <c r="F55" s="11" t="n"/>
      <c r="G55" s="11" t="n"/>
      <c r="H55" s="11" t="n"/>
      <c r="I55" s="12" t="n"/>
    </row>
    <row r="56" ht="88" customHeight="1">
      <c r="A56" s="13" t="inlineStr">
        <is>
          <t>R-17</t>
        </is>
      </c>
      <c r="B56" s="6" t="inlineStr">
        <is>
          <t>Spotpear 電池耗盡時插電能否正常開機（供電路徑）</t>
        </is>
      </c>
      <c r="C56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6" s="11" t="n"/>
      <c r="E56" s="11" t="n"/>
      <c r="F56" s="11" t="n"/>
      <c r="G56" s="11" t="n"/>
      <c r="H56" s="11" t="n"/>
      <c r="I56" s="12" t="n"/>
    </row>
    <row r="57" ht="60" customHeight="1">
      <c r="A57" s="13" t="inlineStr">
        <is>
          <t>P1-01</t>
        </is>
      </c>
      <c r="B57" s="6" t="inlineStr">
        <is>
          <t>加入內容審核層（輸入與輸出）</t>
        </is>
      </c>
      <c r="C57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P1-09</t>
        </is>
      </c>
      <c r="B58" s="6" t="inlineStr">
        <is>
          <t>家長鎖：孩子模式進設定要輸入 PIN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R-12</t>
        </is>
      </c>
      <c r="B59" s="6" t="inlineStr">
        <is>
          <t>家長控制：每日使用上限和休息時段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R-29</t>
        </is>
      </c>
      <c r="B60" s="6" t="inlineStr">
        <is>
          <t>AI Buddy App（品牌 C）頁面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R-05</t>
        </is>
      </c>
      <c r="B61" s="6" t="inlineStr">
        <is>
          <t>內測版外殼（3D 打印 20 台）</t>
        </is>
      </c>
      <c r="C61" s="6" t="inlineStr">
        <is>
          <t>等 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R-06</t>
        </is>
      </c>
      <c r="B62" s="6" t="inlineStr">
        <is>
          <t>家長自助上手流程</t>
        </is>
      </c>
      <c r="C62" s="6" t="inlineStr">
        <is>
          <t>等 P0-11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R-13</t>
        </is>
      </c>
      <c r="B63" s="6" t="inlineStr">
        <is>
          <t>CP1 內測就緒檢查（10/30）</t>
        </is>
      </c>
      <c r="C63" s="6" t="inlineStr">
        <is>
          <t>等 P0-07、P0-11、P1-01、P1-02、P2-09、R-01、R-02、R-04、R-05、R-06、P1-11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R-18</t>
        </is>
      </c>
      <c r="B64" s="6" t="inlineStr">
        <is>
          <t>長按 BOOT 重新配網（開 AIBuddy-XXXX 熱點）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R-19</t>
        </is>
      </c>
      <c r="B65" s="6" t="inlineStr">
        <is>
          <t>外接按鈕：量產板加 I2C 擴展晶片（TCA9555）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R-20</t>
        </is>
      </c>
      <c r="B66" s="6" t="inlineStr">
        <is>
          <t>孩子資料與角色改成每台設備一份</t>
        </is>
      </c>
      <c r="C66" s="6" t="inlineStr">
        <is>
          <t>等 P1-12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R-27</t>
        </is>
      </c>
      <c r="B67" s="6" t="inlineStr">
        <is>
          <t>App 內登入：驗證碼、原生社交登入、刪除帳號</t>
        </is>
      </c>
      <c r="C67" s="6" t="inlineStr">
        <is>
          <t>等 R-26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P0-14</t>
        </is>
      </c>
      <c r="B68" s="6" t="inlineStr">
        <is>
          <t>韌體簽章、Secure Boot 與 Flash 加密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P1-06</t>
        </is>
      </c>
      <c r="B69" s="6" t="inlineStr">
        <is>
          <t>處理 GPL-3.0 依賴（arduino-audio-tools）</t>
        </is>
      </c>
      <c r="C69" s="6" t="inlineStr">
        <is>
          <t>等 Q3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P1-07</t>
        </is>
      </c>
      <c r="B70" s="6" t="inlineStr">
        <is>
          <t>LGPL 合規與第三方授權聲明</t>
        </is>
      </c>
      <c r="C70" s="6" t="inlineStr">
        <is>
          <t>等 Q3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P1-08</t>
        </is>
      </c>
      <c r="B71" s="6" t="inlineStr">
        <is>
          <t>硬件認證</t>
        </is>
      </c>
      <c r="C71" s="6" t="inlineStr">
        <is>
          <t>等 R-01、R-05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P1-14</t>
        </is>
      </c>
      <c r="B72" s="6" t="inlineStr">
        <is>
          <t>Admin 內容安全頁：審核事件只按類別統計</t>
        </is>
      </c>
      <c r="C72" s="6" t="inlineStr">
        <is>
          <t>等 P1-01、P2-13</t>
        </is>
      </c>
      <c r="D72" s="11" t="n"/>
      <c r="E72" s="11" t="n"/>
      <c r="F72" s="11" t="n"/>
      <c r="G72" s="11" t="n"/>
      <c r="H72" s="11" t="n"/>
      <c r="I72" s="12" t="n"/>
    </row>
    <row r="73" ht="32" customHeight="1">
      <c r="A73" s="13" t="inlineStr">
        <is>
          <t>P2-15</t>
        </is>
      </c>
      <c r="B73" s="6" t="inlineStr">
        <is>
          <t>Admin 總覽頁：在線、用量、成本與待處理事項</t>
        </is>
      </c>
      <c r="C73" s="6" t="inlineStr">
        <is>
          <t>等 P2-09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R-07</t>
        </is>
      </c>
      <c r="B74" s="6" t="inlineStr">
        <is>
          <t>20 個家庭封閉內測</t>
        </is>
      </c>
      <c r="C74" s="6" t="inlineStr">
        <is>
          <t>等 R-13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R-08</t>
        </is>
      </c>
      <c r="B75" s="6" t="inlineStr">
        <is>
          <t>第 8 週關卡決策</t>
        </is>
      </c>
      <c r="C75" s="6" t="inlineStr">
        <is>
          <t>等 R-07、P2-09、P1-08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R-14</t>
        </is>
      </c>
      <c r="B76" s="6" t="inlineStr">
        <is>
          <t>離線兒歌與故事</t>
        </is>
      </c>
      <c r="C76" s="6" t="inlineStr">
        <is>
          <t>等 R-01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R-24</t>
        </is>
      </c>
      <c r="B77" s="6" t="inlineStr">
        <is>
          <t>設備只能用自己品牌的角色</t>
        </is>
      </c>
      <c r="C77" s="6" t="inlineStr">
        <is>
          <t>等 R-34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R-28</t>
        </is>
      </c>
      <c r="B78" s="6" t="inlineStr">
        <is>
          <t>三個 App 的殼：品牌版本與測試版</t>
        </is>
      </c>
      <c r="C78" s="6" t="inlineStr">
        <is>
          <t>等 R-25、R-26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R-30</t>
        </is>
      </c>
      <c r="B79" s="6" t="inlineStr">
        <is>
          <t>快活 App（品牌 A）頁面</t>
        </is>
      </c>
      <c r="C79" s="6" t="inlineStr">
        <is>
          <t>等 R-25、R-34、Q12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R-31</t>
        </is>
      </c>
      <c r="B80" s="6" t="inlineStr">
        <is>
          <t>政協青年聯會版 App（品牌 B）頁面</t>
        </is>
      </c>
      <c r="C80" s="6" t="inlineStr">
        <is>
          <t>等 R-25、R-34、Q13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R-35</t>
        </is>
      </c>
      <c r="B81" s="6" t="inlineStr">
        <is>
          <t>韌體按品牌連線：伺服器網址在出廠時寫入</t>
        </is>
      </c>
      <c r="C81" s="6" t="inlineStr">
        <is>
          <t>等 R-34</t>
        </is>
      </c>
      <c r="D81" s="11" t="n"/>
      <c r="E81" s="11" t="n"/>
      <c r="F81" s="11" t="n"/>
      <c r="G81" s="11" t="n"/>
      <c r="H81" s="11" t="n"/>
      <c r="I81" s="12" t="n"/>
    </row>
    <row r="82" ht="32" customHeight="1">
      <c r="A82" s="13" t="inlineStr">
        <is>
          <t>R-38</t>
        </is>
      </c>
      <c r="B82" s="6" t="inlineStr">
        <is>
          <t>公仔出廠鎖死所屬 IP，綁定時顯示該 IP 頭像</t>
        </is>
      </c>
      <c r="C82" s="6" t="inlineStr">
        <is>
          <t>等 P0-11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R-39</t>
        </is>
      </c>
      <c r="B83" s="6" t="inlineStr">
        <is>
          <t>Admin 出廠登記頁：匯入 MAC 清單、指定公仔、查看自檢結果</t>
        </is>
      </c>
      <c r="C83" s="6" t="inlineStr">
        <is>
          <t>等 R-38、P1-10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R-09</t>
        </is>
      </c>
      <c r="B84" s="6" t="inlineStr">
        <is>
          <t>量產外殼（真空複模）</t>
        </is>
      </c>
      <c r="C84" s="6" t="inlineStr">
        <is>
          <t>等 R-08、R-05、Q11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R-10</t>
        </is>
      </c>
      <c r="B85" s="6" t="inlineStr">
        <is>
          <t>出廠流程</t>
        </is>
      </c>
      <c r="C85" s="6" t="inlineStr">
        <is>
          <t>等 P0-14、R-01、P2-12、R-34、R-35、R-38、R-39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R-11</t>
        </is>
      </c>
      <c r="B86" s="6" t="inlineStr">
        <is>
          <t>售後：客服、保修與換機</t>
        </is>
      </c>
      <c r="C86" s="6" t="inlineStr">
        <is>
          <t>等 R-40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R-15</t>
        </is>
      </c>
      <c r="B87" s="6" t="inlineStr">
        <is>
          <t>農曆新年前交付（生產 1/15、送達 1/29）</t>
        </is>
      </c>
      <c r="C87" s="6" t="inlineStr">
        <is>
          <t>等 R-09、R-10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R-33</t>
        </is>
      </c>
      <c r="B88" s="6" t="inlineStr">
        <is>
          <t>三個 App 送審並通過</t>
        </is>
      </c>
      <c r="C88" s="6" t="inlineStr">
        <is>
          <t>等 R-27、R-21、R-28、R-29、R-30、R-31、R-32</t>
        </is>
      </c>
      <c r="D88" s="11" t="n"/>
      <c r="E88" s="11" t="n"/>
      <c r="F88" s="11" t="n"/>
      <c r="G88" s="11" t="n"/>
      <c r="H88" s="11" t="n"/>
      <c r="I88" s="12" t="n"/>
    </row>
    <row r="89" ht="32" customHeight="1">
      <c r="A89" s="13" t="inlineStr">
        <is>
          <t>R-40</t>
        </is>
      </c>
      <c r="B89" s="6" t="inlineStr">
        <is>
          <t>Admin 客服查詢頁：查帳號、名下設備與最近事件</t>
        </is>
      </c>
      <c r="C89" s="6" t="inlineStr">
        <is>
          <t>等 P1-10、P1-12</t>
        </is>
      </c>
      <c r="D89" s="11" t="n"/>
      <c r="E89" s="11" t="n"/>
      <c r="F89" s="11" t="n"/>
      <c r="G89" s="11" t="n"/>
      <c r="H89" s="11" t="n"/>
      <c r="I89" s="12" t="n"/>
    </row>
    <row r="91">
      <c r="A91" s="10" t="inlineStr">
        <is>
          <t>❓ 待確認問題</t>
        </is>
      </c>
    </row>
    <row r="92">
      <c r="A92" s="4" t="inlineStr">
        <is>
          <t>編號</t>
        </is>
      </c>
      <c r="B92" s="4" t="inlineStr">
        <is>
          <t>問題</t>
        </is>
      </c>
      <c r="C92" s="4" t="inlineStr">
        <is>
          <t>影響的任務 / 為什麼重要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Q3</t>
        </is>
      </c>
      <c r="B93" s="6" t="inlineStr">
        <is>
          <t>韌體打算閉源商業銷售嗎？</t>
        </is>
      </c>
      <c r="C93" s="6" t="inlineStr">
        <is>
          <t>P1-06, P1-07：決定 GPL／LGPL 依賴要開源還是替換。</t>
        </is>
      </c>
      <c r="D93" s="11" t="n"/>
      <c r="E93" s="11" t="n"/>
      <c r="F93" s="11" t="n"/>
      <c r="G93" s="11" t="n"/>
      <c r="H93" s="11" t="n"/>
      <c r="I93" s="12" t="n"/>
    </row>
    <row r="94" ht="32" customHeight="1">
      <c r="A94" s="13" t="inlineStr">
        <is>
          <t>Q11</t>
        </is>
      </c>
      <c r="B94" s="6" t="inlineStr">
        <is>
          <t>馬會快活的賽馬日版和新春版各多少隻（共 2,500）？</t>
        </is>
      </c>
      <c r="C94" s="6" t="inlineStr">
        <is>
          <t>R-09, R-15：兩款的服裝和配件要分開訂料；11/20 前不知道，PP 樣和大貨單（11/27）會被拖慢。由馬會決定。</t>
        </is>
      </c>
      <c r="D94" s="11" t="n"/>
      <c r="E94" s="11" t="n"/>
      <c r="F94" s="11" t="n"/>
      <c r="G94" s="11" t="n"/>
      <c r="H94" s="11" t="n"/>
      <c r="I94" s="12" t="n"/>
    </row>
    <row r="95" ht="60" customHeight="1">
      <c r="A95" s="13" t="inlineStr">
        <is>
          <t>Q12</t>
        </is>
      </c>
      <c r="B95" s="6" t="inlineStr">
        <is>
          <t>快活 App 的「會員綁定」是指甚麼：用我們自己的帳號（email 驗證碼），還是接馬會的會員帳號登入（SSO）？</t>
        </is>
      </c>
      <c r="C95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5" s="11" t="n"/>
      <c r="E95" s="11" t="n"/>
      <c r="F95" s="11" t="n"/>
      <c r="G95" s="11" t="n"/>
      <c r="H95" s="11" t="n"/>
      <c r="I95" s="12" t="n"/>
    </row>
    <row r="96" ht="46" customHeight="1">
      <c r="A96" s="13" t="inlineStr">
        <is>
          <t>Q13</t>
        </is>
      </c>
      <c r="B96" s="6" t="inlineStr">
        <is>
          <t>政協青年聯會版的角色、語言和內容由誰提供？什麼時候交？</t>
        </is>
      </c>
      <c r="C96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6" s="11" t="n"/>
      <c r="E96" s="11" t="n"/>
      <c r="F96" s="11" t="n"/>
      <c r="G96" s="11" t="n"/>
      <c r="H96" s="11" t="n"/>
      <c r="I96" s="12" t="n"/>
    </row>
    <row r="98">
      <c r="A98" s="10" t="inlineStr">
        <is>
          <t>說明</t>
        </is>
      </c>
    </row>
    <row r="99" ht="32" customHeight="1">
      <c r="A99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0" ht="18" customHeight="1">
      <c r="A100" s="14" t="inlineStr">
        <is>
          <t>・測試結果：未測試 / 通過 / 失敗 / 部分通過。測試證據寫跑了什麼、看到什麼，完整歷史在「更新記錄」。</t>
        </is>
      </c>
    </row>
    <row r="101" ht="18" customHeight="1">
      <c r="A101" s="14" t="inlineStr">
        <is>
          <t>・「接下來」按階段排序，同一階段內再按優先級；依賴還沒滿足的任務不會出現在「接下來」。</t>
        </is>
      </c>
    </row>
    <row r="102" ht="18" customHeight="1">
      <c r="A102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3" ht="32" customHeight="1">
      <c r="A103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4">
    <mergeCell ref="A99:I99"/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C92:I92"/>
    <mergeCell ref="E31:I31"/>
    <mergeCell ref="E40:I40"/>
    <mergeCell ref="A19:I19"/>
    <mergeCell ref="E26:I26"/>
    <mergeCell ref="A103:I103"/>
    <mergeCell ref="E25:I25"/>
    <mergeCell ref="C95:I95"/>
    <mergeCell ref="C60:I60"/>
    <mergeCell ref="C71:I71"/>
    <mergeCell ref="E50:I50"/>
    <mergeCell ref="C57:I57"/>
    <mergeCell ref="C66:I66"/>
    <mergeCell ref="E44:I44"/>
    <mergeCell ref="E20:I20"/>
    <mergeCell ref="E28:I28"/>
    <mergeCell ref="C77:I77"/>
    <mergeCell ref="C86:I86"/>
    <mergeCell ref="C68:I68"/>
    <mergeCell ref="A91:I91"/>
    <mergeCell ref="A100:I100"/>
    <mergeCell ref="C58:I58"/>
    <mergeCell ref="E30:I30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E35:I35"/>
    <mergeCell ref="A43:I43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3:I93"/>
    <mergeCell ref="A98:I98"/>
    <mergeCell ref="C56:I56"/>
    <mergeCell ref="E22:I22"/>
    <mergeCell ref="C76:I76"/>
    <mergeCell ref="A54:I54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5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298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</sheetData>
  <autoFilter ref="A1:P95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</sheetData>
  <autoFilter ref="A1:I3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2026-10-15T01:48:15Z</dcterms:modified>
</cp:coreProperties>
</file>