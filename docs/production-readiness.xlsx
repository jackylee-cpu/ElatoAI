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'任務清單'!$A$1:$P$101</definedName>
    <definedName name="_xlnm._FilterDatabase" localSheetId="2" hidden="1">'待確認問題'!$A$1:$G$14</definedName>
    <definedName name="_xlnm._FilterDatabase" localSheetId="3" hidden="1">'更新記錄'!$A$1:$I$338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最後更新：2026-10-20 16:45　·　本頁由 tracker.py 自動生成，請勿手動編輯</t>
        </is>
      </c>
    </row>
    <row r="3">
      <c r="A3" s="3" t="inlineStr">
        <is>
          <t>總進度：25/96 已完成（26%）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14</v>
      </c>
      <c r="D7" s="7">
        <f>COUNTIFS('任務清單'!$B:$B,$A7,'任務清單'!$F:$F,D$5)</f>
        <v>8</v>
      </c>
      <c r="E7" s="7">
        <f>COUNTIFS('任務清單'!$B:$B,$A7,'任務清單'!$F:$F,E$5)</f>
        <v>3</v>
      </c>
      <c r="F7" s="7">
        <f>COUNTIFS('任務清單'!$B:$B,$A7,'任務清單'!$F:$F,F$5)</f>
        <v>0</v>
      </c>
      <c r="G7" s="7">
        <f>COUNTIFS('任務清單'!$B:$B,$A7,'任務清單'!$F:$F,G$5)</f>
        <v>2</v>
      </c>
      <c r="H7" s="7">
        <f>COUNTIFS('任務清單'!$B:$B,$A7,'任務清單'!$F:$F,H$5)</f>
        <v>1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25</v>
      </c>
      <c r="D8" s="7">
        <f>COUNTIFS('任務清單'!$B:$B,$A8,'任務清單'!$F:$F,D$5)</f>
        <v>8</v>
      </c>
      <c r="E8" s="7">
        <f>COUNTIFS('任務清單'!$B:$B,$A8,'任務清單'!$F:$F,E$5)</f>
        <v>7</v>
      </c>
      <c r="F8" s="7">
        <f>COUNTIFS('任務清單'!$B:$B,$A8,'任務清單'!$F:$F,F$5)</f>
        <v>10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0.4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44</v>
      </c>
      <c r="D9" s="7">
        <f>COUNTIFS('任務清單'!$B:$B,$A9,'任務清單'!$F:$F,D$5)</f>
        <v>29</v>
      </c>
      <c r="E9" s="7">
        <f>COUNTIFS('任務清單'!$B:$B,$A9,'任務清單'!$F:$F,E$5)</f>
        <v>8</v>
      </c>
      <c r="F9" s="7">
        <f>COUNTIFS('任務清單'!$B:$B,$A9,'任務清單'!$F:$F,F$5)</f>
        <v>2</v>
      </c>
      <c r="G9" s="7">
        <f>COUNTIFS('任務清單'!$B:$B,$A9,'任務清單'!$F:$F,G$5)</f>
        <v>3</v>
      </c>
      <c r="H9" s="7">
        <f>COUNTIFS('任務清單'!$B:$B,$A9,'任務清單'!$F:$F,H$5)</f>
        <v>2</v>
      </c>
      <c r="I9" s="8">
        <f>IFERROR(F9/(C9-H9),0)</f>
        <v>0.047619047619047616</v>
      </c>
    </row>
    <row r="10">
      <c r="A10" s="5" t="inlineStr">
        <is>
          <t>合計</t>
        </is>
      </c>
      <c r="B10" s="6" t="n"/>
      <c r="C10" s="5">
        <f>SUM(C6:C9)</f>
        <v>100</v>
      </c>
      <c r="D10" s="5">
        <f>SUM(D6:D9)</f>
        <v>46</v>
      </c>
      <c r="E10" s="5">
        <f>SUM(E6:E9)</f>
        <v>20</v>
      </c>
      <c r="F10" s="5">
        <f>SUM(F6:F9)</f>
        <v>25</v>
      </c>
      <c r="G10" s="5">
        <f>SUM(G6:G9)</f>
        <v>5</v>
      </c>
      <c r="H10" s="5">
        <f>SUM(H6:H9)</f>
        <v>4</v>
      </c>
      <c r="I10" s="9">
        <f>IFERROR(F10/(C10-H10),0)</f>
        <v>0.2604166666666667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1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1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37</v>
      </c>
      <c r="D14" s="7">
        <f>COUNTIFS('任務清單'!$C:$C,$A14,'任務清單'!$F:$F,D$12)</f>
        <v>13</v>
      </c>
      <c r="E14" s="7">
        <f>COUNTIFS('任務清單'!$C:$C,$A14,'任務清單'!$F:$F,E$12)</f>
        <v>10</v>
      </c>
      <c r="F14" s="7">
        <f>COUNTIFS('任務清單'!$C:$C,$A14,'任務清單'!$F:$F,F$12)</f>
        <v>10</v>
      </c>
      <c r="G14" s="7">
        <f>COUNTIFS('任務清單'!$C:$C,$A14,'任務清單'!$F:$F,G$12)</f>
        <v>2</v>
      </c>
      <c r="H14" s="7">
        <f>COUNTIFS('任務清單'!$C:$C,$A14,'任務清單'!$F:$F,H$12)</f>
        <v>2</v>
      </c>
      <c r="I14" s="8">
        <f>IFERROR(F14/(C14-H14),0)</f>
        <v>0.2857142857142857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31</v>
      </c>
      <c r="D15" s="7">
        <f>COUNTIFS('任務清單'!$C:$C,$A15,'任務清單'!$F:$F,D$12)</f>
        <v>24</v>
      </c>
      <c r="E15" s="7">
        <f>COUNTIFS('任務清單'!$C:$C,$A15,'任務清單'!$F:$F,E$12)</f>
        <v>4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9</v>
      </c>
      <c r="D16" s="7">
        <f>COUNTIFS('任務清單'!$C:$C,$A16,'任務清單'!$F:$F,D$12)</f>
        <v>8</v>
      </c>
      <c r="E16" s="7">
        <f>COUNTIFS('任務清單'!$C:$C,$A16,'任務清單'!$F:$F,E$12)</f>
        <v>1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100</v>
      </c>
      <c r="D17" s="5">
        <f>SUM(D13:D16)</f>
        <v>46</v>
      </c>
      <c r="E17" s="5">
        <f>SUM(E13:E16)</f>
        <v>20</v>
      </c>
      <c r="F17" s="5">
        <f>SUM(F13:F16)</f>
        <v>25</v>
      </c>
      <c r="G17" s="5">
        <f>SUM(G13:G16)</f>
        <v>5</v>
      </c>
      <c r="H17" s="5">
        <f>SUM(H13:H16)</f>
        <v>4</v>
      </c>
      <c r="I17" s="9">
        <f>IFERROR(F17/(C17-H17),0)</f>
        <v>0.2604166666666667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172" customHeight="1">
      <c r="A26" s="13" t="inlineStr">
        <is>
          <t>P1-02</t>
        </is>
      </c>
      <c r="B26" s="6" t="inlineStr">
        <is>
          <t>日誌移除兒童個人資料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
生產日誌只記 ID、長度、類別，不記內容；內容只在 DEBUG 等級輸出，生產不開 DEBUG。</t>
        </is>
      </c>
      <c r="F26" s="11" t="n"/>
      <c r="G26" s="11" t="n"/>
      <c r="H26" s="11" t="n"/>
      <c r="I26" s="12" t="n"/>
    </row>
    <row r="27" ht="242" customHeight="1">
      <c r="A27" s="13" t="inlineStr">
        <is>
          <t>P1-10</t>
        </is>
      </c>
      <c r="B27" s="6" t="inlineStr">
        <is>
          <t>管理操作審計記錄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上次測試：部分通過 — 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
每個管理操作寫一筆記錄：誰、什麼時間、什麼操作、對象、改之前與改之後的值；記錄只能新增，任何人（包括超級管理員）都不能修改或刪除；超級管理員能在管理端查看。</t>
        </is>
      </c>
      <c r="F27" s="11" t="n"/>
      <c r="G27" s="11" t="n"/>
      <c r="H27" s="11" t="n"/>
      <c r="I27" s="12" t="n"/>
    </row>
    <row r="28" ht="409" customHeight="1">
      <c r="A28" s="13" t="inlineStr">
        <is>
          <t>P1-12</t>
        </is>
      </c>
      <c r="B28" s="6" t="inlineStr">
        <is>
          <t>設備解綁時的記憶處理：確認、預設保留、可選清除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8" s="11" t="n"/>
      <c r="G28" s="11" t="n"/>
      <c r="H28" s="11" t="n"/>
      <c r="I28" s="12" t="n"/>
    </row>
    <row r="29" ht="200" customHeight="1">
      <c r="A29" s="13" t="inlineStr">
        <is>
          <t>P2-09</t>
        </is>
      </c>
      <c r="B29" s="6" t="inlineStr">
        <is>
          <t>每台設備成本監控</t>
        </is>
      </c>
      <c r="C29" s="13" t="inlineStr">
        <is>
          <t>2 內測準備</t>
        </is>
      </c>
      <c r="D29" s="13" t="inlineStr">
        <is>
          <t>進行中</t>
        </is>
      </c>
      <c r="E29" s="6" t="inlineStr">
        <is>
          <t>上次測試：部分通過 — 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
每個 session 記錄 STT 秒數、LLM token、TTS 字數並換算成本；admin 頁顯示每台設備的月成本。</t>
        </is>
      </c>
      <c r="F29" s="11" t="n"/>
      <c r="G29" s="11" t="n"/>
      <c r="H29" s="11" t="n"/>
      <c r="I29" s="12" t="n"/>
    </row>
    <row r="30" ht="172" customHeight="1">
      <c r="A30" s="13" t="inlineStr">
        <is>
          <t>P2-13</t>
        </is>
      </c>
      <c r="B30" s="6" t="inlineStr">
        <is>
          <t>Admin 後台改成分組側欄（新頁面先用示例數據預覽）</t>
        </is>
      </c>
      <c r="C30" s="13" t="inlineStr">
        <is>
          <t>2 內測準備</t>
        </is>
      </c>
      <c r="D30" s="13" t="inlineStr">
        <is>
          <t>進行中</t>
        </is>
      </c>
      <c r="E30" s="6" t="inlineStr">
        <is>
          <t>上次測試：部分通過 — 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
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F30" s="11" t="n"/>
      <c r="G30" s="11" t="n"/>
      <c r="H30" s="11" t="n"/>
      <c r="I30" s="12" t="n"/>
    </row>
    <row r="31" ht="270" customHeight="1">
      <c r="A31" s="13" t="inlineStr">
        <is>
          <t>P2-24</t>
        </is>
      </c>
      <c r="B31" s="6" t="inlineStr">
        <is>
          <t>麥克風上行改用 IMA ADPCM（減少 4 倍頻寬）</t>
        </is>
      </c>
      <c r="C31" s="13" t="inlineStr">
        <is>
          <t>2 內測準備</t>
        </is>
      </c>
      <c r="D31" s="13" t="inlineStr">
        <is>
          <t>進行中</t>
        </is>
      </c>
      <c r="E31" s="6" t="inlineStr">
        <is>
          <t>上次測試：部分通過 — ① pytest test_mic_adpcm 10 項：Mac 上編譯 firmware MicAdpcm.cpp，與 audioop 逐 byte 一致（改壞一個表值即失敗）；分塊解碼 = 連續流解碼；掉一塊只損失該塊；人聲段 SNR &gt; 20dB；全套 275 passed ② 伺服器按 X-Mic-Codec 解碼，無 header 照舊 PCM（10:37 1.7.5 → mic=pcm，10:40 1.7.6 → mic=adpcm）③ 62:70 Guest（2026-10-15）：ADPCM 3 輪 Azure zh-HK 辨識通順完整（如『但係點解依家望到外邊係陰天嘅？』），STT 431–526ms，對照同場 PCM 560ms；上行 27,650B/3,370ms 與 16,625B/2,026ms = 8.2 B/ms（PCM 32），發送最長 3ms、最低 heap 55KB
① 新韌體上行用 IMA ADPCM（64 kbps），每幀帶解碼狀態（預測值＋步長索引），掉幀或重連後下一幀即可正確解碼 ② 連線時以 header 聲明編碼；伺服器據此解碼成 16kHz PCM 再交給 STT；沒有聲明的舊韌體照舊當 PCM ③ 韌體編碼與伺服器解碼位元一致（同一算法）④ 編碼 CPU &lt; 2%、不增加延遲 ⑤ 語音辨識品質與 PCM 相當</t>
        </is>
      </c>
      <c r="F31" s="11" t="n"/>
      <c r="G31" s="11" t="n"/>
      <c r="H31" s="11" t="n"/>
      <c r="I31" s="12" t="n"/>
    </row>
    <row r="32" ht="409" customHeight="1">
      <c r="A32" s="13" t="inlineStr">
        <is>
          <t>P2-25</t>
        </is>
      </c>
      <c r="B32" s="6" t="inlineStr">
        <is>
          <t>C3 斷線後自救：TLS 握手超時縮短、連續失敗重設 Wi-Fi 或重開、修重試漏記憶體</t>
        </is>
      </c>
      <c r="C32" s="13" t="inlineStr">
        <is>
          <t>2 內測準備</t>
        </is>
      </c>
      <c r="D32" s="13" t="inlineStr">
        <is>
          <t>進行中</t>
        </is>
      </c>
      <c r="E32" s="6" t="inlineStr">
        <is>
          <t>上次測試：部分通過 — 62:70（2026-10-15，hw-test-1015 1.8.1/1.8.2）：① 黑洞端口：開機音 → 8 秒 Chime: wifi_try（用戶：聽到「正在連接」、燈在閃，看似藍色）；63 秒『The internet answers and our server does not』→ 黃燈；192 秒靜默重開（boot skipped），修正後重開不再播 wifi_try ② 無互聯網版：63 秒 No internet through HKQF - Guest → 改試（熱點不在，回到 Guest）；128 秒 opening Wi-Fi setup → AP AIBuddy-6270 → Chime: wifi_no_ap、wifi_setup ③ 65 次失敗握手 heap 64,424 → 64,300 無漏 ④ 健康連線 2 分鐘無誤判；伺服器停 40 秒後 1 秒內重連；正常版開機即連上、不播 wifi_try。測試中修正四個問題：token 200 清除失聯記錄；只看事件不看狀態（健康連線被重設）；Audio.cpp 的 #include 只對降採樣板生效（S3 編譯失敗）；靜默重開後又播「正在連接」
① websocket / HTTPS 的 TLS 握手超時約 15 秒 ② 失去連線超過 8 秒：燈青色慢閃，播一次「正在連接」（wifi_try；每次失聯一次，8 秒內連上不播）③ Wi-Fi 在線但到不了伺服器 60 秒：檢查互聯網（generate_204）。上不了網 → 先改試其他已存網絡一次，仍不行就打開配網（洋紅常亮，播「無法連接」＋「正在配網…」，最多每 10 分鐘一次）；上得了網 → 是我們伺服器掛了，不叫家長重設 Wi-Fi，燈黃色慢閃，自己重試，3 分鐘靜默重開一次（重開後不再播提示、不再重開）④ 失敗的重連不漏 heap：連續 50 次失敗前後差 &lt; 1KB ⑤ 已綁定設備的正常斷網重連行為不變，正常開機不多播提示 ⑥ 開機時附近沒有已存網絡而打開配網：播「正在配網…」（2026-10-15 用戶決定 ②③⑥）</t>
        </is>
      </c>
      <c r="F32" s="11" t="n"/>
      <c r="G32" s="11" t="n"/>
      <c r="H32" s="11" t="n"/>
      <c r="I32" s="12" t="n"/>
    </row>
    <row r="33" ht="200" customHeight="1">
      <c r="A33" s="13" t="inlineStr">
        <is>
          <t>R-21</t>
        </is>
      </c>
      <c r="B33" s="6" t="inlineStr">
        <is>
          <t>藍牙配網與綁定（取代熱點配網）</t>
        </is>
      </c>
      <c r="C33" s="13" t="inlineStr">
        <is>
          <t>2 內測準備</t>
        </is>
      </c>
      <c r="D33" s="13" t="inlineStr">
        <is>
          <t>進行中</t>
        </is>
      </c>
      <c r="E3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33" s="11" t="n"/>
      <c r="G33" s="11" t="n"/>
      <c r="H33" s="11" t="n"/>
      <c r="I33" s="12" t="n"/>
    </row>
    <row r="34" ht="382" customHeight="1">
      <c r="A34" s="13" t="inlineStr">
        <is>
          <t>R-25</t>
        </is>
      </c>
      <c r="B34" s="6" t="inlineStr">
        <is>
          <t>網頁的品牌主題系統</t>
        </is>
      </c>
      <c r="C34" s="13" t="inlineStr">
        <is>
          <t>2 內測準備</t>
        </is>
      </c>
      <c r="D34" s="13" t="inlineStr">
        <is>
          <t>進行中</t>
        </is>
      </c>
      <c r="E34" s="6" t="inlineStr">
        <is>
          <t>上次測試：部分通過 — 分支 r-25-brand-themes（3e59883 + c6654ed，worktree aibuddy-brands）：同一個 next build 的 standalone server.js 以 BRAND=aibuddy/hkjc/genex 各啟動一次 → /login 標題『Login | AI Buddy／快活／GEN-EX』、SSR &lt;head&gt; 內 :root --brand-primary 各自不同（無閃爍）、標誌與標語對；cp -R genex zz-test 改 JSON、不改程式不重 build → 『Login | Test Brand』；BRAND=nope → 500 並記錄 brands/nope/brand.json does not exist；brand.json 填錯 → 500 並逐欄報錯。dev 實測 hkjc：設備預設名『快活』、中文加設備提示、無方案徽章、/home/account/child 404。grep 共用程式碼：無品牌名、無 AI Buddy 色值（剩韌體熱點前綴、JWT audience、seed 帳號等技術識別碼）。tsc 0 錯、next build 通過、node --test 22/22。未做：① 首頁、上手流程、角色頁的整頁品牌版本（只有文案、圖片、功能開關可按品牌）和圖片 logo，等設計負責人（待定）10/23 的設計；hkjc/genex 名稱、顏色、文案是佔位。
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F34" s="11" t="n"/>
      <c r="G34" s="11" t="n"/>
      <c r="H34" s="11" t="n"/>
      <c r="I34" s="12" t="n"/>
    </row>
    <row r="35" ht="172" customHeight="1">
      <c r="A35" s="13" t="inlineStr">
        <is>
          <t>R-36</t>
        </is>
      </c>
      <c r="B35" s="6" t="inlineStr">
        <is>
          <t>未認領的設備停在配對狀態，不再每秒重連 websocket</t>
        </is>
      </c>
      <c r="C35" s="13" t="inlineStr">
        <is>
          <t>2 內測準備</t>
        </is>
      </c>
      <c r="D35" s="13" t="inlineStr">
        <is>
          <t>進行中</t>
        </is>
      </c>
      <c r="E35" s="6" t="inlineStr">
        <is>
          <t>上次測試：部分通過 — 補充 2026-10-15（1.7.5，含 R-36）：已綁定時兩次 Wi-Fi 切換各斷網 9–11 秒，都自動重連並重新 auth，沒有停在暫停狀態；30 秒斷網仍未做
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35" s="11" t="n"/>
      <c r="G35" s="11" t="n"/>
      <c r="H35" s="11" t="n"/>
      <c r="I35" s="12" t="n"/>
    </row>
    <row r="36" ht="228" customHeight="1">
      <c r="A36" s="13" t="inlineStr">
        <is>
          <t>P2-12</t>
        </is>
      </c>
      <c r="B36" s="6" t="inlineStr">
        <is>
          <t>量產燒錄前加大 app 分區</t>
        </is>
      </c>
      <c r="C36" s="13" t="inlineStr">
        <is>
          <t>3 封閉內測</t>
        </is>
      </c>
      <c r="D36" s="13" t="inlineStr">
        <is>
          <t>進行中</t>
        </is>
      </c>
      <c r="E36" s="6" t="inlineStr">
        <is>
          <t>上次測試：部分通過 — 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
新分區表（例如 app0/app1 各 4MB，保留 nvs/otadata 位置）在出廠前定案並寫入出廠腳本；OTA 與回滾在新分區表上照常</t>
        </is>
      </c>
      <c r="F36" s="11" t="n"/>
      <c r="G36" s="11" t="n"/>
      <c r="H36" s="11" t="n"/>
      <c r="I36" s="12" t="n"/>
    </row>
    <row r="37" ht="409" customHeight="1">
      <c r="A37" s="13" t="inlineStr">
        <is>
          <t>P2-22</t>
        </is>
      </c>
      <c r="B37" s="6" t="inlineStr">
        <is>
          <t>改服務器網址也不失聯：語音網址由後端下發、後端網址可遷移、已確認韌體長期連不上時自救</t>
        </is>
      </c>
      <c r="C37" s="13" t="inlineStr">
        <is>
          <t>3 封閉內測</t>
        </is>
      </c>
      <c r="D37" s="13" t="inlineStr">
        <is>
          <t>進行中</t>
        </is>
      </c>
      <c r="E37" s="6" t="inlineStr">
        <is>
          <t>上次測試：部分通過 — 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
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F37" s="11" t="n"/>
      <c r="G37" s="11" t="n"/>
      <c r="H37" s="11" t="n"/>
      <c r="I37" s="12" t="n"/>
    </row>
    <row r="38" ht="340" customHeight="1">
      <c r="A38" s="13" t="inlineStr">
        <is>
          <t>R-37</t>
        </is>
      </c>
      <c r="B38" s="6" t="inlineStr">
        <is>
          <t>網頁設定玩具的 Wi-Fi：查看、新增、刪除</t>
        </is>
      </c>
      <c r="C38" s="13" t="inlineStr">
        <is>
          <t>3 封閉內測</t>
        </is>
      </c>
      <c r="D38" s="13" t="inlineStr">
        <is>
          <t>進行中</t>
        </is>
      </c>
      <c r="E38" s="6" t="inlineStr">
        <is>
          <t>上次測試：部分通過 — 62:70（1.7.4/1.7.5，2026-10-15）：① 熱點關掉後醒來改連 HKQF - Guest 並上線（發生在醒來重開時）⑦ Use 按鈕、確認框、『Moving to…』；熱點關著時按 Use → 11 秒內頁面顯示『couldn't find lee’s iPhone nearby. It's back on HKQF - Guest』，串口 not_found → Back on Guest → 重連。過程中發現並修正：驅動殘留上一次的『找不到』令連回原網絡立即失敗並掉進 SoftAP（joinFor 6 秒內不信失敗，tryConnect 同用）。pytest 272 passed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新增不自動切換網絡；目前 Wi-Fi 消失時按訊號選，或由家長按「改用這個」（⑦）；清單標示「連過／未連過」⑤ 上限 8 個 ⑥ 韌體改動經 OTA 推出 ⑦ 已記住、未在使用的 Wi-Fi 可按「改用這個」：玩具斷開目前網絡改連它，最多 20 秒，要連上我們的伺服器才算成功；失敗就自動連回原網絡，頁面顯示「連不上 X，已回到 Y」；切換中頁面顯示切換中，玩具重新連上後刷新；成功後標示連過</t>
        </is>
      </c>
      <c r="F38" s="11" t="n"/>
      <c r="G38" s="11" t="n"/>
      <c r="H38" s="11" t="n"/>
      <c r="I38" s="12" t="n"/>
    </row>
    <row r="39" ht="326" customHeight="1">
      <c r="A39" s="13" t="inlineStr">
        <is>
          <t>R-42</t>
        </is>
      </c>
      <c r="B39" s="6" t="inlineStr">
        <is>
          <t>Tool call v1：調音量、結束對話</t>
        </is>
      </c>
      <c r="C39" s="13" t="inlineStr">
        <is>
          <t>3 封閉內測</t>
        </is>
      </c>
      <c r="D39" s="13" t="inlineStr">
        <is>
          <t>進行中</t>
        </is>
      </c>
      <c r="E39" s="6" t="inlineStr">
        <is>
          <t>上次測試：部分通過 — 分支 tool-call-rag（e80784b、f24b809、f90a657，worktree aibuddy-tools）：evals/voice_tools 真實模型、伺服器提示詞同工具定義，每案 ×3：調音量 gemma 60/60、DeepSeek 59/60；結束對話 gemma 30/30＋50/50、DeepSeek 30/30＋49/50（唯一失敗係 DeepSeek 空回覆）；誤觸發 0/144（電視、鄰居、媽媽話我大聲、故事入面講拜拜等）。首字延遲：gemma 無增加（p50 856 vs 871ms），DeepSeek +150ms。本機端到端（simulate_device，Sinji 粵語錄音，7895 worktree 伺服器）：『你大聲啲啦』→ volume+auth 喺 RESPONSE.CREATED 前、70→85、devices.volume=85；『拜拜，我要瞓覺喇』→ 道別後 1.5s SESSION.END；記憶記錄三輪都正確。DeepSeek 先講『等我查吓先』再查：RESPONSE.COMPLETE 延後到答案講完（一個週期 22–33s 音頻）。pytest 325 passed。未做：真機 62:70 每個工具真實語音 20 次、合併 dev、部署。
① 兩個工具各用真實語音在玩具上觸發 20 次，成功率 ≥ 95% ② 不相關的話（其他嘢好大聲、故事入面講拜拜等）不會誤觸發 ③ 首字延遲增加不超過 300 毫秒 ④ 1.0.1 同新固件都即時變音量，網頁音量同步 ⑤ 道別講完先瞓覺，用戶再講嘢就取消 ⑥ 工具輪嘅記憶記錄正確</t>
        </is>
      </c>
      <c r="F39" s="11" t="n"/>
      <c r="G39" s="11" t="n"/>
      <c r="H39" s="11" t="n"/>
      <c r="I39" s="12" t="n"/>
    </row>
    <row r="40" ht="200" customHeight="1">
      <c r="A40" s="13" t="inlineStr">
        <is>
          <t>R-43</t>
        </is>
      </c>
      <c r="B40" s="6" t="inlineStr">
        <is>
          <t>快活知識庫 RAG v1（檢索與回答）</t>
        </is>
      </c>
      <c r="C40" s="13" t="inlineStr">
        <is>
          <t>4 量產出貨</t>
        </is>
      </c>
      <c r="D40" s="13" t="inlineStr">
        <is>
          <t>進行中</t>
        </is>
      </c>
      <c r="E40" s="6" t="inlineStr">
        <is>
          <t>上次測試：部分通過 — BM25 檢索搬入伺服器（knowledge.py），KNOWLEDGE_BASE_FILE 指定，工具描述、查唔到嘅回覆、額外規則（唔畀貼士）都喺資料檔。用 13 條示範資料：evals/voice_tools 命中題 gemma 答對事實 12/12、DeepSeek 11–12/12；查唔到 → 固定句或者講唔清楚，冇自己作；貼士三題兩個模型都婉拒。已知問題：部分命中（沙田馬場有冇餐廳）DeepSeek 3 次有 2 次用自己知識補充（『係有餐廳㗎』），gemma 冇。未做：馬會資料、設計負責人（待定）100 條測試問題、MIN_SCORE 重新量、入庫審批流程。
① v1 只放第一批馬會資料；設計負責人（待定）寫嘅 100 條測試問題答對率 ≥ 80% ② 知識庫冇嘅內容講唔肯定並建議查詢，唔自己作 ③ 問貼士、賠率、賽果預測 100% 婉拒 ④ 更新知識庫唔使重新燒錄玩具</t>
        </is>
      </c>
      <c r="F40" s="11" t="n"/>
      <c r="G40" s="11" t="n"/>
      <c r="H40" s="11" t="n"/>
      <c r="I40" s="12" t="n"/>
    </row>
    <row r="41" ht="102" customHeight="1">
      <c r="A41" s="13" t="inlineStr">
        <is>
          <t>R-16</t>
        </is>
      </c>
      <c r="B41" s="6" t="inlineStr">
        <is>
          <t>Spotpear 量產版加電池電壓檢測（GPIO0 分壓）</t>
        </is>
      </c>
      <c r="C41" s="13" t="inlineStr">
        <is>
          <t>1 止血定案</t>
        </is>
      </c>
      <c r="D41" s="13" t="inlineStr">
        <is>
          <t>未開始</t>
        </is>
      </c>
      <c r="E41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F41" s="11" t="n"/>
      <c r="G41" s="11" t="n"/>
      <c r="H41" s="11" t="n"/>
      <c r="I41" s="12" t="n"/>
    </row>
    <row r="42" ht="46" customHeight="1">
      <c r="A42" s="13" t="inlineStr">
        <is>
          <t>P1-11</t>
        </is>
      </c>
      <c r="B42" s="6" t="inlineStr">
        <is>
          <t>伺服器與資料庫直接存取的管控</t>
        </is>
      </c>
      <c r="C42" s="13" t="inlineStr">
        <is>
          <t>2 內測準備</t>
        </is>
      </c>
      <c r="D42" s="13" t="inlineStr">
        <is>
          <t>未開始</t>
        </is>
      </c>
      <c r="E42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42" s="11" t="n"/>
      <c r="G42" s="11" t="n"/>
      <c r="H42" s="11" t="n"/>
      <c r="I42" s="12" t="n"/>
    </row>
    <row r="43" ht="46" customHeight="1">
      <c r="A43" s="13" t="inlineStr">
        <is>
          <t>P2-02</t>
        </is>
      </c>
      <c r="B43" s="6" t="inlineStr">
        <is>
          <t>CI 跑測試與靜態檢查</t>
        </is>
      </c>
      <c r="C43" s="13" t="inlineStr">
        <is>
          <t>2 內測準備</t>
        </is>
      </c>
      <c r="D43" s="13" t="inlineStr">
        <is>
          <t>未開始</t>
        </is>
      </c>
      <c r="E43" s="6" t="inlineStr">
        <is>
          <t>推送與 PR 時跑 pytest、ruff、pyright、next lint、tsc --noEmit、pio run；任何一項失敗就不發佈 image。</t>
        </is>
      </c>
      <c r="F43" s="11" t="n"/>
      <c r="G43" s="11" t="n"/>
      <c r="H43" s="11" t="n"/>
      <c r="I43" s="12" t="n"/>
    </row>
    <row r="44" ht="32" customHeight="1">
      <c r="A44" s="13" t="inlineStr">
        <is>
          <t>P2-04</t>
        </is>
      </c>
      <c r="B44" s="6" t="inlineStr">
        <is>
          <t>容器改用非 root 用戶</t>
        </is>
      </c>
      <c r="C44" s="13" t="inlineStr">
        <is>
          <t>2 內測準備</t>
        </is>
      </c>
      <c r="D44" s="13" t="inlineStr">
        <is>
          <t>未開始</t>
        </is>
      </c>
      <c r="E44" s="6" t="inlineStr">
        <is>
          <t>兩個 Dockerfile 都設定非 root 的 USER。</t>
        </is>
      </c>
      <c r="F44" s="11" t="n"/>
      <c r="G44" s="11" t="n"/>
      <c r="H44" s="11" t="n"/>
      <c r="I44" s="12" t="n"/>
    </row>
    <row r="45" ht="46" customHeight="1">
      <c r="A45" s="13" t="inlineStr">
        <is>
          <t>R-04</t>
        </is>
      </c>
      <c r="B45" s="6" t="inlineStr">
        <is>
          <t>粵語質量評測</t>
        </is>
      </c>
      <c r="C45" s="13" t="inlineStr">
        <is>
          <t>2 內測準備</t>
        </is>
      </c>
      <c r="D45" s="13" t="inlineStr">
        <is>
          <t>未開始</t>
        </is>
      </c>
      <c r="E45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F45" s="11" t="n"/>
      <c r="G45" s="11" t="n"/>
      <c r="H45" s="11" t="n"/>
      <c r="I45" s="12" t="n"/>
    </row>
    <row r="46" ht="102" customHeight="1">
      <c r="A46" s="13" t="inlineStr">
        <is>
          <t>R-26</t>
        </is>
      </c>
      <c r="B46" s="6" t="inlineStr">
        <is>
          <t>原生殼與網頁的橋接清單</t>
        </is>
      </c>
      <c r="C46" s="13" t="inlineStr">
        <is>
          <t>2 內測準備</t>
        </is>
      </c>
      <c r="D46" s="13" t="inlineStr">
        <is>
          <t>未開始</t>
        </is>
      </c>
      <c r="E46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F46" s="11" t="n"/>
      <c r="G46" s="11" t="n"/>
      <c r="H46" s="11" t="n"/>
      <c r="I46" s="12" t="n"/>
    </row>
    <row r="48">
      <c r="A48" s="10" t="inlineStr">
        <is>
          <t>✅ 最近完成與測試效果</t>
        </is>
      </c>
    </row>
    <row r="49">
      <c r="A49" s="4" t="inlineStr">
        <is>
          <t>編號</t>
        </is>
      </c>
      <c r="B49" s="4" t="inlineStr">
        <is>
          <t>任務</t>
        </is>
      </c>
      <c r="C49" s="4" t="inlineStr">
        <is>
          <t>測試結果</t>
        </is>
      </c>
      <c r="D49" s="4" t="inlineStr">
        <is>
          <t>完成日期</t>
        </is>
      </c>
      <c r="E49" s="4" t="inlineStr">
        <is>
          <t>測試證據</t>
        </is>
      </c>
      <c r="F49" s="11" t="n"/>
      <c r="G49" s="11" t="n"/>
      <c r="H49" s="11" t="n"/>
      <c r="I49" s="12" t="n"/>
    </row>
    <row r="50" ht="214" customHeight="1">
      <c r="A50" s="13" t="inlineStr">
        <is>
          <t>P2-20</t>
        </is>
      </c>
      <c r="B50" s="6" t="inlineStr">
        <is>
          <t>P2-16 ④ 從後台上傳與發佈韌體（取代手貼 service key）</t>
        </is>
      </c>
      <c r="C50" s="13" t="inlineStr">
        <is>
          <t>通過</t>
        </is>
      </c>
      <c r="D50" s="13" t="inlineStr">
        <is>
          <t>2026-10-14</t>
        </is>
      </c>
      <c r="E50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F50" s="11" t="n"/>
      <c r="G50" s="11" t="n"/>
      <c r="H50" s="11" t="n"/>
      <c r="I50" s="12" t="n"/>
    </row>
    <row r="51" ht="88" customHeight="1">
      <c r="A51" s="13" t="inlineStr">
        <is>
          <t>P2-21</t>
        </is>
      </c>
      <c r="B51" s="6" t="inlineStr">
        <is>
          <t>P2-16 ⑤ 後台 OTA 頁換成真實數據與操作</t>
        </is>
      </c>
      <c r="C51" s="13" t="inlineStr">
        <is>
          <t>通過</t>
        </is>
      </c>
      <c r="D51" s="13" t="inlineStr">
        <is>
          <t>2026-10-15</t>
        </is>
      </c>
      <c r="E51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F51" s="11" t="n"/>
      <c r="G51" s="11" t="n"/>
      <c r="H51" s="11" t="n"/>
      <c r="I51" s="12" t="n"/>
    </row>
    <row r="52" ht="158" customHeight="1">
      <c r="A52" s="13" t="inlineStr">
        <is>
          <t>P2-16</t>
        </is>
      </c>
      <c r="B52" s="6" t="inlineStr">
        <is>
          <t>OTA 分批推送與後台發佈頁</t>
        </is>
      </c>
      <c r="C52" s="13" t="inlineStr">
        <is>
          <t>通過</t>
        </is>
      </c>
      <c r="D52" s="13" t="inlineStr">
        <is>
          <t>2026-10-15</t>
        </is>
      </c>
      <c r="E52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F52" s="11" t="n"/>
      <c r="G52" s="11" t="n"/>
      <c r="H52" s="11" t="n"/>
      <c r="I52" s="12" t="n"/>
    </row>
    <row r="53" ht="144" customHeight="1">
      <c r="A53" s="13" t="inlineStr">
        <is>
          <t>P2-14</t>
        </is>
      </c>
      <c r="B53" s="6" t="inlineStr">
        <is>
          <t>Admin 設備頁：每台玩具的狀態、韌體與基本操作</t>
        </is>
      </c>
      <c r="C53" s="13" t="inlineStr">
        <is>
          <t>通過</t>
        </is>
      </c>
      <c r="D53" s="13" t="inlineStr">
        <is>
          <t>2026-10-15</t>
        </is>
      </c>
      <c r="E53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F53" s="11" t="n"/>
      <c r="G53" s="11" t="n"/>
      <c r="H53" s="11" t="n"/>
      <c r="I53" s="12" t="n"/>
    </row>
    <row r="54" ht="158" customHeight="1">
      <c r="A54" s="13" t="inlineStr">
        <is>
          <t>P2-19</t>
        </is>
      </c>
      <c r="B54" s="6" t="inlineStr">
        <is>
          <t>P2-16 ③ 回滾過多時自動暫停推送</t>
        </is>
      </c>
      <c r="C54" s="13" t="inlineStr">
        <is>
          <t>通過</t>
        </is>
      </c>
      <c r="D54" s="13" t="inlineStr">
        <is>
          <t>2026-10-14</t>
        </is>
      </c>
      <c r="E54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F54" s="11" t="n"/>
      <c r="G54" s="11" t="n"/>
      <c r="H54" s="11" t="n"/>
      <c r="I54" s="12" t="n"/>
    </row>
    <row r="55" ht="200" customHeight="1">
      <c r="A55" s="13" t="inlineStr">
        <is>
          <t>P2-18</t>
        </is>
      </c>
      <c r="B55" s="6" t="inlineStr">
        <is>
          <t>P2-16 ② 按 MAC 雜湊穩定分組決定哪台收到 ota</t>
        </is>
      </c>
      <c r="C55" s="13" t="inlineStr">
        <is>
          <t>通過</t>
        </is>
      </c>
      <c r="D55" s="13" t="inlineStr">
        <is>
          <t>2026-10-14</t>
        </is>
      </c>
      <c r="E55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F55" s="11" t="n"/>
      <c r="G55" s="11" t="n"/>
      <c r="H55" s="11" t="n"/>
      <c r="I55" s="12" t="n"/>
    </row>
    <row r="56" ht="172" customHeight="1">
      <c r="A56" s="13" t="inlineStr">
        <is>
          <t>P2-17</t>
        </is>
      </c>
      <c r="B56" s="6" t="inlineStr">
        <is>
          <t>P2-16 ① 分批推送的數據表：推送階段、白名單、每台安裝結果</t>
        </is>
      </c>
      <c r="C56" s="13" t="inlineStr">
        <is>
          <t>通過</t>
        </is>
      </c>
      <c r="D56" s="13" t="inlineStr">
        <is>
          <t>2026-10-14</t>
        </is>
      </c>
      <c r="E56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F56" s="11" t="n"/>
      <c r="G56" s="11" t="n"/>
      <c r="H56" s="11" t="n"/>
      <c r="I56" s="12" t="n"/>
    </row>
    <row r="57" ht="116" customHeight="1">
      <c r="A57" s="13" t="inlineStr">
        <is>
          <t>R-41</t>
        </is>
      </c>
      <c r="B57" s="6" t="inlineStr">
        <is>
          <t>App 顯示玩具電量狀態（低電量提示）</t>
        </is>
      </c>
      <c r="C57" s="13" t="inlineStr">
        <is>
          <t>通過</t>
        </is>
      </c>
      <c r="D57" s="13" t="inlineStr">
        <is>
          <t>2026-10-14</t>
        </is>
      </c>
      <c r="E57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F57" s="11" t="n"/>
      <c r="G57" s="11" t="n"/>
      <c r="H57" s="11" t="n"/>
      <c r="I57" s="12" t="n"/>
    </row>
    <row r="59">
      <c r="A59" s="10" t="inlineStr">
        <is>
          <t>⏳ 等待依賴 / ⛔ 阻塞</t>
        </is>
      </c>
    </row>
    <row r="60">
      <c r="A60" s="4" t="inlineStr">
        <is>
          <t>編號</t>
        </is>
      </c>
      <c r="B60" s="4" t="inlineStr">
        <is>
          <t>任務</t>
        </is>
      </c>
      <c r="C60" s="4" t="inlineStr">
        <is>
          <t>在等什麼</t>
        </is>
      </c>
      <c r="D60" s="11" t="n"/>
      <c r="E60" s="11" t="n"/>
      <c r="F60" s="11" t="n"/>
      <c r="G60" s="11" t="n"/>
      <c r="H60" s="11" t="n"/>
      <c r="I60" s="12" t="n"/>
    </row>
    <row r="61" ht="88" customHeight="1">
      <c r="A61" s="13" t="inlineStr">
        <is>
          <t>R-17</t>
        </is>
      </c>
      <c r="B61" s="6" t="inlineStr">
        <is>
          <t>Spotpear 電池耗盡時插電能否正常開機（供電路徑）</t>
        </is>
      </c>
      <c r="C61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61" s="11" t="n"/>
      <c r="E61" s="11" t="n"/>
      <c r="F61" s="11" t="n"/>
      <c r="G61" s="11" t="n"/>
      <c r="H61" s="11" t="n"/>
      <c r="I61" s="12" t="n"/>
    </row>
    <row r="62" ht="60" customHeight="1">
      <c r="A62" s="13" t="inlineStr">
        <is>
          <t>P1-01</t>
        </is>
      </c>
      <c r="B62" s="6" t="inlineStr">
        <is>
          <t>加入內容審核層（輸入與輸出）</t>
        </is>
      </c>
      <c r="C62" s="6" t="inlineStr">
        <is>
          <t>阻塞：[2026-10-14]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  <c r="D62" s="11" t="n"/>
      <c r="E62" s="11" t="n"/>
      <c r="F62" s="11" t="n"/>
      <c r="G62" s="11" t="n"/>
      <c r="H62" s="11" t="n"/>
      <c r="I62" s="12" t="n"/>
    </row>
    <row r="63" ht="32" customHeight="1">
      <c r="A63" s="13" t="inlineStr">
        <is>
          <t>P1-09</t>
        </is>
      </c>
      <c r="B63" s="6" t="inlineStr">
        <is>
          <t>家長鎖：孩子模式進設定要輸入 PIN</t>
        </is>
      </c>
      <c r="C63" s="6" t="inlineStr">
        <is>
          <t>阻塞：[2026-10-13] 2026-10-13 用戶決定：AI Buddy（品牌 C）延到 1/15 之後，本項不卡 1/15 出廠；AI Buddy 啟動時再開。</t>
        </is>
      </c>
      <c r="D63" s="11" t="n"/>
      <c r="E63" s="11" t="n"/>
      <c r="F63" s="11" t="n"/>
      <c r="G63" s="11" t="n"/>
      <c r="H63" s="11" t="n"/>
      <c r="I63" s="12" t="n"/>
    </row>
    <row r="64" ht="32" customHeight="1">
      <c r="A64" s="13" t="inlineStr">
        <is>
          <t>R-12</t>
        </is>
      </c>
      <c r="B64" s="6" t="inlineStr">
        <is>
          <t>家長控制：每日使用上限和休息時段</t>
        </is>
      </c>
      <c r="C64" s="6" t="inlineStr">
        <is>
          <t>阻塞：[2026-10-13] 2026-10-13 用戶決定：AI Buddy（品牌 C）延到 1/15 之後，本項不卡 1/15 出廠；AI Buddy 啟動時再開。</t>
        </is>
      </c>
      <c r="D64" s="11" t="n"/>
      <c r="E64" s="11" t="n"/>
      <c r="F64" s="11" t="n"/>
      <c r="G64" s="11" t="n"/>
      <c r="H64" s="11" t="n"/>
      <c r="I64" s="12" t="n"/>
    </row>
    <row r="65" ht="32" customHeight="1">
      <c r="A65" s="13" t="inlineStr">
        <is>
          <t>R-29</t>
        </is>
      </c>
      <c r="B65" s="6" t="inlineStr">
        <is>
          <t>AI Buddy App（品牌 C）頁面</t>
        </is>
      </c>
      <c r="C65" s="6" t="inlineStr">
        <is>
          <t>阻塞：[2026-10-13] 2026-10-13 用戶決定：AI Buddy（品牌 C）延到 1/15 之後，本項不卡 1/15 出廠；AI Buddy 啟動時再開。</t>
        </is>
      </c>
      <c r="D65" s="11" t="n"/>
      <c r="E65" s="11" t="n"/>
      <c r="F65" s="11" t="n"/>
      <c r="G65" s="11" t="n"/>
      <c r="H65" s="11" t="n"/>
      <c r="I65" s="12" t="n"/>
    </row>
    <row r="66" ht="18" customHeight="1">
      <c r="A66" s="13" t="inlineStr">
        <is>
          <t>R-05</t>
        </is>
      </c>
      <c r="B66" s="6" t="inlineStr">
        <is>
          <t>內測版外殼（3D 打印 20 台）</t>
        </is>
      </c>
      <c r="C66" s="6" t="inlineStr">
        <is>
          <t>等 R-01</t>
        </is>
      </c>
      <c r="D66" s="11" t="n"/>
      <c r="E66" s="11" t="n"/>
      <c r="F66" s="11" t="n"/>
      <c r="G66" s="11" t="n"/>
      <c r="H66" s="11" t="n"/>
      <c r="I66" s="12" t="n"/>
    </row>
    <row r="67" ht="18" customHeight="1">
      <c r="A67" s="13" t="inlineStr">
        <is>
          <t>R-06</t>
        </is>
      </c>
      <c r="B67" s="6" t="inlineStr">
        <is>
          <t>家長自助上手流程</t>
        </is>
      </c>
      <c r="C67" s="6" t="inlineStr">
        <is>
          <t>等 P0-11</t>
        </is>
      </c>
      <c r="D67" s="11" t="n"/>
      <c r="E67" s="11" t="n"/>
      <c r="F67" s="11" t="n"/>
      <c r="G67" s="11" t="n"/>
      <c r="H67" s="11" t="n"/>
      <c r="I67" s="12" t="n"/>
    </row>
    <row r="68" ht="32" customHeight="1">
      <c r="A68" s="13" t="inlineStr">
        <is>
          <t>R-13</t>
        </is>
      </c>
      <c r="B68" s="6" t="inlineStr">
        <is>
          <t>CP1 內測就緒檢查（10/30）</t>
        </is>
      </c>
      <c r="C68" s="6" t="inlineStr">
        <is>
          <t>等 P0-07、P0-11、P1-01、P1-02、P2-09、R-01、R-02、R-04、R-05、R-06、P1-11</t>
        </is>
      </c>
      <c r="D68" s="11" t="n"/>
      <c r="E68" s="11" t="n"/>
      <c r="F68" s="11" t="n"/>
      <c r="G68" s="11" t="n"/>
      <c r="H68" s="11" t="n"/>
      <c r="I68" s="12" t="n"/>
    </row>
    <row r="69" ht="32" customHeight="1">
      <c r="A69" s="13" t="inlineStr">
        <is>
          <t>R-18</t>
        </is>
      </c>
      <c r="B69" s="6" t="inlineStr">
        <is>
          <t>長按 BOOT 重新配網（開 AIBuddy-XXXX 熱點）</t>
        </is>
      </c>
      <c r="C69" s="6" t="inlineStr">
        <is>
          <t>等 R-01</t>
        </is>
      </c>
      <c r="D69" s="11" t="n"/>
      <c r="E69" s="11" t="n"/>
      <c r="F69" s="11" t="n"/>
      <c r="G69" s="11" t="n"/>
      <c r="H69" s="11" t="n"/>
      <c r="I69" s="12" t="n"/>
    </row>
    <row r="70" ht="32" customHeight="1">
      <c r="A70" s="13" t="inlineStr">
        <is>
          <t>R-19</t>
        </is>
      </c>
      <c r="B70" s="6" t="inlineStr">
        <is>
          <t>外接按鈕：量產板加 I2C 擴展晶片（TCA9555）</t>
        </is>
      </c>
      <c r="C70" s="6" t="inlineStr">
        <is>
          <t>等 R-01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R-20</t>
        </is>
      </c>
      <c r="B71" s="6" t="inlineStr">
        <is>
          <t>孩子資料與角色改成每台設備一份</t>
        </is>
      </c>
      <c r="C71" s="6" t="inlineStr">
        <is>
          <t>等 P1-12</t>
        </is>
      </c>
      <c r="D71" s="11" t="n"/>
      <c r="E71" s="11" t="n"/>
      <c r="F71" s="11" t="n"/>
      <c r="G71" s="11" t="n"/>
      <c r="H71" s="11" t="n"/>
      <c r="I71" s="12" t="n"/>
    </row>
    <row r="72" ht="32" customHeight="1">
      <c r="A72" s="13" t="inlineStr">
        <is>
          <t>R-27</t>
        </is>
      </c>
      <c r="B72" s="6" t="inlineStr">
        <is>
          <t>App 內登入：驗證碼、原生社交登入、刪除帳號</t>
        </is>
      </c>
      <c r="C72" s="6" t="inlineStr">
        <is>
          <t>等 R-26</t>
        </is>
      </c>
      <c r="D72" s="11" t="n"/>
      <c r="E72" s="11" t="n"/>
      <c r="F72" s="11" t="n"/>
      <c r="G72" s="11" t="n"/>
      <c r="H72" s="11" t="n"/>
      <c r="I72" s="12" t="n"/>
    </row>
    <row r="73" ht="18" customHeight="1">
      <c r="A73" s="13" t="inlineStr">
        <is>
          <t>P0-14</t>
        </is>
      </c>
      <c r="B73" s="6" t="inlineStr">
        <is>
          <t>韌體簽章、Secure Boot 與 Flash 加密</t>
        </is>
      </c>
      <c r="C73" s="6" t="inlineStr">
        <is>
          <t>等 R-01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P1-06</t>
        </is>
      </c>
      <c r="B74" s="6" t="inlineStr">
        <is>
          <t>處理 GPL-3.0 依賴（arduino-audio-tools）</t>
        </is>
      </c>
      <c r="C74" s="6" t="inlineStr">
        <is>
          <t>等 Q3</t>
        </is>
      </c>
      <c r="D74" s="11" t="n"/>
      <c r="E74" s="11" t="n"/>
      <c r="F74" s="11" t="n"/>
      <c r="G74" s="11" t="n"/>
      <c r="H74" s="11" t="n"/>
      <c r="I74" s="12" t="n"/>
    </row>
    <row r="75" ht="18" customHeight="1">
      <c r="A75" s="13" t="inlineStr">
        <is>
          <t>P1-07</t>
        </is>
      </c>
      <c r="B75" s="6" t="inlineStr">
        <is>
          <t>LGPL 合規與第三方授權聲明</t>
        </is>
      </c>
      <c r="C75" s="6" t="inlineStr">
        <is>
          <t>等 Q3</t>
        </is>
      </c>
      <c r="D75" s="11" t="n"/>
      <c r="E75" s="11" t="n"/>
      <c r="F75" s="11" t="n"/>
      <c r="G75" s="11" t="n"/>
      <c r="H75" s="11" t="n"/>
      <c r="I75" s="12" t="n"/>
    </row>
    <row r="76" ht="18" customHeight="1">
      <c r="A76" s="13" t="inlineStr">
        <is>
          <t>P1-08</t>
        </is>
      </c>
      <c r="B76" s="6" t="inlineStr">
        <is>
          <t>硬件認證</t>
        </is>
      </c>
      <c r="C76" s="6" t="inlineStr">
        <is>
          <t>等 R-01、R-05</t>
        </is>
      </c>
      <c r="D76" s="11" t="n"/>
      <c r="E76" s="11" t="n"/>
      <c r="F76" s="11" t="n"/>
      <c r="G76" s="11" t="n"/>
      <c r="H76" s="11" t="n"/>
      <c r="I76" s="12" t="n"/>
    </row>
    <row r="77" ht="18" customHeight="1">
      <c r="A77" s="13" t="inlineStr">
        <is>
          <t>P1-14</t>
        </is>
      </c>
      <c r="B77" s="6" t="inlineStr">
        <is>
          <t>Admin 內容安全頁：審核事件只按類別統計</t>
        </is>
      </c>
      <c r="C77" s="6" t="inlineStr">
        <is>
          <t>等 P1-01、P2-13</t>
        </is>
      </c>
      <c r="D77" s="11" t="n"/>
      <c r="E77" s="11" t="n"/>
      <c r="F77" s="11" t="n"/>
      <c r="G77" s="11" t="n"/>
      <c r="H77" s="11" t="n"/>
      <c r="I77" s="12" t="n"/>
    </row>
    <row r="78" ht="32" customHeight="1">
      <c r="A78" s="13" t="inlineStr">
        <is>
          <t>P2-15</t>
        </is>
      </c>
      <c r="B78" s="6" t="inlineStr">
        <is>
          <t>Admin 總覽頁：在線、用量、成本與待處理事項</t>
        </is>
      </c>
      <c r="C78" s="6" t="inlineStr">
        <is>
          <t>等 P2-09</t>
        </is>
      </c>
      <c r="D78" s="11" t="n"/>
      <c r="E78" s="11" t="n"/>
      <c r="F78" s="11" t="n"/>
      <c r="G78" s="11" t="n"/>
      <c r="H78" s="11" t="n"/>
      <c r="I78" s="12" t="n"/>
    </row>
    <row r="79" ht="18" customHeight="1">
      <c r="A79" s="13" t="inlineStr">
        <is>
          <t>R-07</t>
        </is>
      </c>
      <c r="B79" s="6" t="inlineStr">
        <is>
          <t>20 個家庭封閉內測</t>
        </is>
      </c>
      <c r="C79" s="6" t="inlineStr">
        <is>
          <t>等 R-13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R-08</t>
        </is>
      </c>
      <c r="B80" s="6" t="inlineStr">
        <is>
          <t>第 8 週關卡決策</t>
        </is>
      </c>
      <c r="C80" s="6" t="inlineStr">
        <is>
          <t>等 R-07、P2-09、P1-08</t>
        </is>
      </c>
      <c r="D80" s="11" t="n"/>
      <c r="E80" s="11" t="n"/>
      <c r="F80" s="11" t="n"/>
      <c r="G80" s="11" t="n"/>
      <c r="H80" s="11" t="n"/>
      <c r="I80" s="12" t="n"/>
    </row>
    <row r="81" ht="18" customHeight="1">
      <c r="A81" s="13" t="inlineStr">
        <is>
          <t>R-14</t>
        </is>
      </c>
      <c r="B81" s="6" t="inlineStr">
        <is>
          <t>離線兒歌與故事</t>
        </is>
      </c>
      <c r="C81" s="6" t="inlineStr">
        <is>
          <t>等 R-01</t>
        </is>
      </c>
      <c r="D81" s="11" t="n"/>
      <c r="E81" s="11" t="n"/>
      <c r="F81" s="11" t="n"/>
      <c r="G81" s="11" t="n"/>
      <c r="H81" s="11" t="n"/>
      <c r="I81" s="12" t="n"/>
    </row>
    <row r="82" ht="18" customHeight="1">
      <c r="A82" s="13" t="inlineStr">
        <is>
          <t>R-24</t>
        </is>
      </c>
      <c r="B82" s="6" t="inlineStr">
        <is>
          <t>設備只能用自己品牌的角色</t>
        </is>
      </c>
      <c r="C82" s="6" t="inlineStr">
        <is>
          <t>等 R-34</t>
        </is>
      </c>
      <c r="D82" s="11" t="n"/>
      <c r="E82" s="11" t="n"/>
      <c r="F82" s="11" t="n"/>
      <c r="G82" s="11" t="n"/>
      <c r="H82" s="11" t="n"/>
      <c r="I82" s="12" t="n"/>
    </row>
    <row r="83" ht="18" customHeight="1">
      <c r="A83" s="13" t="inlineStr">
        <is>
          <t>R-28</t>
        </is>
      </c>
      <c r="B83" s="6" t="inlineStr">
        <is>
          <t>三個 App 的殼：品牌版本與測試版</t>
        </is>
      </c>
      <c r="C83" s="6" t="inlineStr">
        <is>
          <t>等 R-25、R-26</t>
        </is>
      </c>
      <c r="D83" s="11" t="n"/>
      <c r="E83" s="11" t="n"/>
      <c r="F83" s="11" t="n"/>
      <c r="G83" s="11" t="n"/>
      <c r="H83" s="11" t="n"/>
      <c r="I83" s="12" t="n"/>
    </row>
    <row r="84" ht="18" customHeight="1">
      <c r="A84" s="13" t="inlineStr">
        <is>
          <t>R-30</t>
        </is>
      </c>
      <c r="B84" s="6" t="inlineStr">
        <is>
          <t>快活 App（品牌 A）頁面</t>
        </is>
      </c>
      <c r="C84" s="6" t="inlineStr">
        <is>
          <t>等 R-25、R-34、Q12</t>
        </is>
      </c>
      <c r="D84" s="11" t="n"/>
      <c r="E84" s="11" t="n"/>
      <c r="F84" s="11" t="n"/>
      <c r="G84" s="11" t="n"/>
      <c r="H84" s="11" t="n"/>
      <c r="I84" s="12" t="n"/>
    </row>
    <row r="85" ht="18" customHeight="1">
      <c r="A85" s="13" t="inlineStr">
        <is>
          <t>R-31</t>
        </is>
      </c>
      <c r="B85" s="6" t="inlineStr">
        <is>
          <t>政協青年聯會版 App（品牌 B）頁面</t>
        </is>
      </c>
      <c r="C85" s="6" t="inlineStr">
        <is>
          <t>等 R-25、R-34、Q13</t>
        </is>
      </c>
      <c r="D85" s="11" t="n"/>
      <c r="E85" s="11" t="n"/>
      <c r="F85" s="11" t="n"/>
      <c r="G85" s="11" t="n"/>
      <c r="H85" s="11" t="n"/>
      <c r="I85" s="12" t="n"/>
    </row>
    <row r="86" ht="18" customHeight="1">
      <c r="A86" s="13" t="inlineStr">
        <is>
          <t>R-35</t>
        </is>
      </c>
      <c r="B86" s="6" t="inlineStr">
        <is>
          <t>韌體按品牌連線：伺服器網址在出廠時寫入</t>
        </is>
      </c>
      <c r="C86" s="6" t="inlineStr">
        <is>
          <t>等 R-34</t>
        </is>
      </c>
      <c r="D86" s="11" t="n"/>
      <c r="E86" s="11" t="n"/>
      <c r="F86" s="11" t="n"/>
      <c r="G86" s="11" t="n"/>
      <c r="H86" s="11" t="n"/>
      <c r="I86" s="12" t="n"/>
    </row>
    <row r="87" ht="32" customHeight="1">
      <c r="A87" s="13" t="inlineStr">
        <is>
          <t>R-38</t>
        </is>
      </c>
      <c r="B87" s="6" t="inlineStr">
        <is>
          <t>公仔出廠鎖死所屬 IP，綁定時顯示該 IP 頭像</t>
        </is>
      </c>
      <c r="C87" s="6" t="inlineStr">
        <is>
          <t>等 P0-11</t>
        </is>
      </c>
      <c r="D87" s="11" t="n"/>
      <c r="E87" s="11" t="n"/>
      <c r="F87" s="11" t="n"/>
      <c r="G87" s="11" t="n"/>
      <c r="H87" s="11" t="n"/>
      <c r="I87" s="12" t="n"/>
    </row>
    <row r="88" ht="32" customHeight="1">
      <c r="A88" s="13" t="inlineStr">
        <is>
          <t>R-39</t>
        </is>
      </c>
      <c r="B88" s="6" t="inlineStr">
        <is>
          <t>Admin 出廠登記頁：匯入 MAC 清單、指定公仔、查看自檢結果</t>
        </is>
      </c>
      <c r="C88" s="6" t="inlineStr">
        <is>
          <t>等 R-38、P1-10</t>
        </is>
      </c>
      <c r="D88" s="11" t="n"/>
      <c r="E88" s="11" t="n"/>
      <c r="F88" s="11" t="n"/>
      <c r="G88" s="11" t="n"/>
      <c r="H88" s="11" t="n"/>
      <c r="I88" s="12" t="n"/>
    </row>
    <row r="89" ht="18" customHeight="1">
      <c r="A89" s="13" t="inlineStr">
        <is>
          <t>R-44</t>
        </is>
      </c>
      <c r="B89" s="6" t="inlineStr">
        <is>
          <t>知識庫後台頁面與審批流程</t>
        </is>
      </c>
      <c r="C89" s="6" t="inlineStr">
        <is>
          <t>等 P1-10</t>
        </is>
      </c>
      <c r="D89" s="11" t="n"/>
      <c r="E89" s="11" t="n"/>
      <c r="F89" s="11" t="n"/>
      <c r="G89" s="11" t="n"/>
      <c r="H89" s="11" t="n"/>
      <c r="I89" s="12" t="n"/>
    </row>
    <row r="90" ht="18" customHeight="1">
      <c r="A90" s="13" t="inlineStr">
        <is>
          <t>R-09</t>
        </is>
      </c>
      <c r="B90" s="6" t="inlineStr">
        <is>
          <t>量產外殼（真空複模）</t>
        </is>
      </c>
      <c r="C90" s="6" t="inlineStr">
        <is>
          <t>等 R-08、R-05、Q11</t>
        </is>
      </c>
      <c r="D90" s="11" t="n"/>
      <c r="E90" s="11" t="n"/>
      <c r="F90" s="11" t="n"/>
      <c r="G90" s="11" t="n"/>
      <c r="H90" s="11" t="n"/>
      <c r="I90" s="12" t="n"/>
    </row>
    <row r="91" ht="18" customHeight="1">
      <c r="A91" s="13" t="inlineStr">
        <is>
          <t>R-10</t>
        </is>
      </c>
      <c r="B91" s="6" t="inlineStr">
        <is>
          <t>出廠流程</t>
        </is>
      </c>
      <c r="C91" s="6" t="inlineStr">
        <is>
          <t>等 P0-14、R-01、P2-12、R-34、R-35、R-38、R-39</t>
        </is>
      </c>
      <c r="D91" s="11" t="n"/>
      <c r="E91" s="11" t="n"/>
      <c r="F91" s="11" t="n"/>
      <c r="G91" s="11" t="n"/>
      <c r="H91" s="11" t="n"/>
      <c r="I91" s="12" t="n"/>
    </row>
    <row r="92" ht="18" customHeight="1">
      <c r="A92" s="13" t="inlineStr">
        <is>
          <t>R-11</t>
        </is>
      </c>
      <c r="B92" s="6" t="inlineStr">
        <is>
          <t>售後：客服、保修與換機</t>
        </is>
      </c>
      <c r="C92" s="6" t="inlineStr">
        <is>
          <t>等 R-40</t>
        </is>
      </c>
      <c r="D92" s="11" t="n"/>
      <c r="E92" s="11" t="n"/>
      <c r="F92" s="11" t="n"/>
      <c r="G92" s="11" t="n"/>
      <c r="H92" s="11" t="n"/>
      <c r="I92" s="12" t="n"/>
    </row>
    <row r="93" ht="18" customHeight="1">
      <c r="A93" s="13" t="inlineStr">
        <is>
          <t>R-15</t>
        </is>
      </c>
      <c r="B93" s="6" t="inlineStr">
        <is>
          <t>農曆新年前交付（生產 1/15、送達 1/29）</t>
        </is>
      </c>
      <c r="C93" s="6" t="inlineStr">
        <is>
          <t>等 R-09、R-10</t>
        </is>
      </c>
      <c r="D93" s="11" t="n"/>
      <c r="E93" s="11" t="n"/>
      <c r="F93" s="11" t="n"/>
      <c r="G93" s="11" t="n"/>
      <c r="H93" s="11" t="n"/>
      <c r="I93" s="12" t="n"/>
    </row>
    <row r="94" ht="18" customHeight="1">
      <c r="A94" s="13" t="inlineStr">
        <is>
          <t>R-33</t>
        </is>
      </c>
      <c r="B94" s="6" t="inlineStr">
        <is>
          <t>三個 App 送審並通過</t>
        </is>
      </c>
      <c r="C94" s="6" t="inlineStr">
        <is>
          <t>等 R-27、R-21、R-28、R-29、R-30、R-31、R-32</t>
        </is>
      </c>
      <c r="D94" s="11" t="n"/>
      <c r="E94" s="11" t="n"/>
      <c r="F94" s="11" t="n"/>
      <c r="G94" s="11" t="n"/>
      <c r="H94" s="11" t="n"/>
      <c r="I94" s="12" t="n"/>
    </row>
    <row r="95" ht="32" customHeight="1">
      <c r="A95" s="13" t="inlineStr">
        <is>
          <t>R-40</t>
        </is>
      </c>
      <c r="B95" s="6" t="inlineStr">
        <is>
          <t>Admin 客服查詢頁：查帳號、名下設備與最近事件</t>
        </is>
      </c>
      <c r="C95" s="6" t="inlineStr">
        <is>
          <t>等 P1-10、P1-12</t>
        </is>
      </c>
      <c r="D95" s="11" t="n"/>
      <c r="E95" s="11" t="n"/>
      <c r="F95" s="11" t="n"/>
      <c r="G95" s="11" t="n"/>
      <c r="H95" s="11" t="n"/>
      <c r="I95" s="12" t="n"/>
    </row>
    <row r="97">
      <c r="A97" s="10" t="inlineStr">
        <is>
          <t>❓ 待確認問題</t>
        </is>
      </c>
    </row>
    <row r="98">
      <c r="A98" s="4" t="inlineStr">
        <is>
          <t>編號</t>
        </is>
      </c>
      <c r="B98" s="4" t="inlineStr">
        <is>
          <t>問題</t>
        </is>
      </c>
      <c r="C98" s="4" t="inlineStr">
        <is>
          <t>影響的任務 / 為什麼重要</t>
        </is>
      </c>
      <c r="D98" s="11" t="n"/>
      <c r="E98" s="11" t="n"/>
      <c r="F98" s="11" t="n"/>
      <c r="G98" s="11" t="n"/>
      <c r="H98" s="11" t="n"/>
      <c r="I98" s="12" t="n"/>
    </row>
    <row r="99" ht="18" customHeight="1">
      <c r="A99" s="13" t="inlineStr">
        <is>
          <t>Q3</t>
        </is>
      </c>
      <c r="B99" s="6" t="inlineStr">
        <is>
          <t>韌體打算閉源商業銷售嗎？</t>
        </is>
      </c>
      <c r="C99" s="6" t="inlineStr">
        <is>
          <t>P1-06, P1-07：決定 GPL／LGPL 依賴要開源還是替換。</t>
        </is>
      </c>
      <c r="D99" s="11" t="n"/>
      <c r="E99" s="11" t="n"/>
      <c r="F99" s="11" t="n"/>
      <c r="G99" s="11" t="n"/>
      <c r="H99" s="11" t="n"/>
      <c r="I99" s="12" t="n"/>
    </row>
    <row r="100" ht="32" customHeight="1">
      <c r="A100" s="13" t="inlineStr">
        <is>
          <t>Q11</t>
        </is>
      </c>
      <c r="B100" s="6" t="inlineStr">
        <is>
          <t>馬會快活的賽馬日版和新春版各多少隻（共 2,500）？</t>
        </is>
      </c>
      <c r="C100" s="6" t="inlineStr">
        <is>
          <t>R-09, R-15：兩款的服裝和配件要分開訂料；11/20 前不知道，PP 樣和大貨單（11/27）會被拖慢。由馬會決定。</t>
        </is>
      </c>
      <c r="D100" s="11" t="n"/>
      <c r="E100" s="11" t="n"/>
      <c r="F100" s="11" t="n"/>
      <c r="G100" s="11" t="n"/>
      <c r="H100" s="11" t="n"/>
      <c r="I100" s="12" t="n"/>
    </row>
    <row r="101" ht="60" customHeight="1">
      <c r="A101" s="13" t="inlineStr">
        <is>
          <t>Q12</t>
        </is>
      </c>
      <c r="B101" s="6" t="inlineStr">
        <is>
          <t>快活 App 的「會員綁定」是指甚麼：用我們自己的帳號（email 驗證碼），還是接馬會的會員帳號登入（SSO）？</t>
        </is>
      </c>
      <c r="C101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01" s="11" t="n"/>
      <c r="E101" s="11" t="n"/>
      <c r="F101" s="11" t="n"/>
      <c r="G101" s="11" t="n"/>
      <c r="H101" s="11" t="n"/>
      <c r="I101" s="12" t="n"/>
    </row>
    <row r="102" ht="46" customHeight="1">
      <c r="A102" s="13" t="inlineStr">
        <is>
          <t>Q13</t>
        </is>
      </c>
      <c r="B102" s="6" t="inlineStr">
        <is>
          <t>政協青年聯會版的角色、語言和內容由誰提供？什麼時候交？</t>
        </is>
      </c>
      <c r="C102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102" s="11" t="n"/>
      <c r="E102" s="11" t="n"/>
      <c r="F102" s="11" t="n"/>
      <c r="G102" s="11" t="n"/>
      <c r="H102" s="11" t="n"/>
      <c r="I102" s="12" t="n"/>
    </row>
    <row r="104">
      <c r="A104" s="10" t="inlineStr">
        <is>
          <t>說明</t>
        </is>
      </c>
    </row>
    <row r="105" ht="32" customHeight="1">
      <c r="A105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106" ht="18" customHeight="1">
      <c r="A106" s="14" t="inlineStr">
        <is>
          <t>・測試結果：未測試 / 通過 / 失敗 / 部分通過。測試證據寫跑了什麼、看到什麼，完整歷史在「更新記錄」。</t>
        </is>
      </c>
    </row>
    <row r="107" ht="18" customHeight="1">
      <c r="A107" s="14" t="inlineStr">
        <is>
          <t>・「接下來」按階段排序，同一階段內再按優先級；依賴還沒滿足的任務不會出現在「接下來」。</t>
        </is>
      </c>
    </row>
    <row r="108" ht="18" customHeight="1">
      <c r="A108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109" ht="32" customHeight="1">
      <c r="A109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90">
    <mergeCell ref="E55:I55"/>
    <mergeCell ref="A108:I108"/>
    <mergeCell ref="C82:I82"/>
    <mergeCell ref="E52:I52"/>
    <mergeCell ref="E39:I39"/>
    <mergeCell ref="C67:I67"/>
    <mergeCell ref="A2:I2"/>
    <mergeCell ref="E29:I29"/>
    <mergeCell ref="E38:I38"/>
    <mergeCell ref="C83:I83"/>
    <mergeCell ref="C92:I92"/>
    <mergeCell ref="A109:I109"/>
    <mergeCell ref="E31:I31"/>
    <mergeCell ref="E40:I40"/>
    <mergeCell ref="A19:I19"/>
    <mergeCell ref="A48:I48"/>
    <mergeCell ref="E26:I26"/>
    <mergeCell ref="A59:I59"/>
    <mergeCell ref="E25:I25"/>
    <mergeCell ref="C95:I95"/>
    <mergeCell ref="C60:I60"/>
    <mergeCell ref="C71:I71"/>
    <mergeCell ref="E50:I50"/>
    <mergeCell ref="E42:I42"/>
    <mergeCell ref="C91:I91"/>
    <mergeCell ref="A105:I105"/>
    <mergeCell ref="C66:I66"/>
    <mergeCell ref="E44:I44"/>
    <mergeCell ref="C102:I102"/>
    <mergeCell ref="E20:I20"/>
    <mergeCell ref="E28:I28"/>
    <mergeCell ref="C77:I77"/>
    <mergeCell ref="C86:I86"/>
    <mergeCell ref="C68:I68"/>
    <mergeCell ref="E30:I30"/>
    <mergeCell ref="E22:I22"/>
    <mergeCell ref="E46:I46"/>
    <mergeCell ref="C85:I85"/>
    <mergeCell ref="C100:I100"/>
    <mergeCell ref="C94:I94"/>
    <mergeCell ref="C65:I65"/>
    <mergeCell ref="C75:I75"/>
    <mergeCell ref="C84:I84"/>
    <mergeCell ref="E57:I57"/>
    <mergeCell ref="C80:I80"/>
    <mergeCell ref="E54:I54"/>
    <mergeCell ref="E32:I32"/>
    <mergeCell ref="A1:I1"/>
    <mergeCell ref="E41:I41"/>
    <mergeCell ref="E56:I56"/>
    <mergeCell ref="C61:I61"/>
    <mergeCell ref="E43:I43"/>
    <mergeCell ref="C70:I70"/>
    <mergeCell ref="E24:I24"/>
    <mergeCell ref="E33:I33"/>
    <mergeCell ref="A3:I3"/>
    <mergeCell ref="A104:I104"/>
    <mergeCell ref="E35:I35"/>
    <mergeCell ref="C101:I101"/>
    <mergeCell ref="A106:I106"/>
    <mergeCell ref="C74:I74"/>
    <mergeCell ref="C88:I88"/>
    <mergeCell ref="E45:I45"/>
    <mergeCell ref="C99:I99"/>
    <mergeCell ref="E37:I37"/>
    <mergeCell ref="E21:I21"/>
    <mergeCell ref="E23:I23"/>
    <mergeCell ref="C72:I72"/>
    <mergeCell ref="C81:I81"/>
    <mergeCell ref="C69:I69"/>
    <mergeCell ref="E51:I51"/>
    <mergeCell ref="C78:I78"/>
    <mergeCell ref="C87:I87"/>
    <mergeCell ref="C62:I62"/>
    <mergeCell ref="A97:I97"/>
    <mergeCell ref="C98:I98"/>
    <mergeCell ref="C89:I89"/>
    <mergeCell ref="E34:I34"/>
    <mergeCell ref="C64:I64"/>
    <mergeCell ref="C79:I79"/>
    <mergeCell ref="C73:I73"/>
    <mergeCell ref="E49:I49"/>
    <mergeCell ref="E27:I27"/>
    <mergeCell ref="E36:I36"/>
    <mergeCell ref="C63:I63"/>
    <mergeCell ref="C93:I93"/>
    <mergeCell ref="A107:I107"/>
    <mergeCell ref="C90:I90"/>
    <mergeCell ref="E53:I53"/>
    <mergeCell ref="C76:I76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1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
[2026-10-15] 2026-10-15 併入 dev（41be698，未推送）。dev 已刪舊設定頁，認領清單開關移到 Account/AddDevice.tsx：DEVICE_CLAIM_LIST 關閉時清單回 null、停止輪詢、提示用 App 加設備。合併後 pytest 293、tsc 0、node 19/19、pio 18 env 全過；本機 DB 以 BEGIN/ROLLBACK 重套 migration 無錯。部署注意：沒有藍牙 App（R-21）前 UAT 要設 DEVICE_CLAIM_LIST=True，否則無法加板。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172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阻塞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
[2026-10-14] 2026-10-14：審核事件的後台頁拆成 P1-14，等本項完成後做。
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17" ht="144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進行中</t>
        </is>
      </c>
      <c r="G17" s="13" t="inlineStr">
        <is>
          <t>部分通過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O17" s="13" t="inlineStr">
        <is>
          <t>4214b99</t>
        </is>
      </c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10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
[2026-10-14] 2026-10-14：admin 的「系統健康」頁只放摘要和外部監控連結，錯誤追蹤與告警用外部服務，不在後台自己做。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256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進行中</t>
        </is>
      </c>
      <c r="G32" s="13" t="inlineStr">
        <is>
          <t>部分通過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O32" s="13" t="inlineStr">
        <is>
          <t>8e3b2c5</t>
        </is>
      </c>
      <c r="P32" s="6" t="inlineStr">
        <is>
          <t>[2026-10-14] 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409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R-38, R-39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
[2026-10-14] 2026-10-14：P2-12 定案後，工位多一步：按品牌寫入資源包（tools/build_assets.py --brand ... → esptool write_flash 0x810000），開機 log『Assets: brand ...crc ok』作自檢一項。
[2026-10-14] 2026-10-14：後台的 MAC 清單匯入、整批指定公仔、QC 結果查看拆成 R-39，與工位腳本一起試產。</t>
        </is>
      </c>
    </row>
    <row r="43" ht="242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inlineStr">
        <is>
          <t>P2-14, R-40</t>
        </is>
      </c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
[2026-10-14] 2026-10-14：admin 端的診斷靠設備頁（P2-14），報修、換機、刪帳號的工具在客服查詢頁（R-40）。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242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進行中</t>
        </is>
      </c>
      <c r="G48" s="13" t="inlineStr">
        <is>
          <t>部分通過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O48" s="13" t="inlineStr">
        <is>
          <t>8e3b2c5</t>
        </is>
      </c>
      <c r="P48" s="6" t="inlineStr">
        <is>
          <t>[2026-09-30] 新增
[2026-10-14] 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14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P1-11</t>
        </is>
      </c>
      <c r="P50" s="6" t="inlineStr">
        <is>
          <t>[2026-10-05] 新增：2026-10-05 定：兩個 checkpoint 為 10/30（CP1）與 11/27（CP2＝R-08）；硬底線是農曆新年（2027-02-06）前交付。
[2026-10-14] 2026-10-14 用戶決定：移除 P1-09（家長鎖）。品牌 C 已延到 1/15 之後，P1-09 阻塞，留在依賴裡 CP1 永遠過不了。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409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未開始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
[2026-10-14] 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354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進行中</t>
        </is>
      </c>
      <c r="G59" s="13" t="inlineStr">
        <is>
          <t>部分通過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N59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O59" s="13" t="inlineStr">
        <is>
          <t>5e9ffce</t>
        </is>
      </c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
[2026-10-14] 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
[2026-10-14] 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標準，App 殼負責人（待定）可用官方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284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進行中</t>
        </is>
      </c>
      <c r="G67" s="13" t="inlineStr">
        <is>
          <t>部分通過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N67" s="6" t="inlineStr">
        <is>
          <t>分支 r-25-brand-themes（3e59883 + c6654ed，worktree aibuddy-brands）：同一個 next build 的 standalone server.js 以 BRAND=aibuddy/hkjc/genex 各啟動一次 → /login 標題『Login | AI Buddy／快活／GEN-EX』、SSR &lt;head&gt; 內 :root --brand-primary 各自不同（無閃爍）、標誌與標語對；cp -R genex zz-test 改 JSON、不改程式不重 build → 『Login | Test Brand』；BRAND=nope → 500 並記錄 brands/nope/brand.json does not exist；brand.json 填錯 → 500 並逐欄報錯。dev 實測 hkjc：設備預設名『快活』、中文加設備提示、無方案徽章、/home/account/child 404。grep 共用程式碼：無品牌名、無 AI Buddy 色值（剩韌體熱點前綴、JWT audience、seed 帳號等技術識別碼）。tsc 0 錯、next build 通過、node --test 22/22。未做：① 首頁、上手流程、角色頁的整頁品牌版本（只有文案、圖片、功能開關可按品牌）和圖片 logo，等設計負責人（待定）10/23 的設計；hkjc/genex 名稱、顏色、文案是佔位。</t>
        </is>
      </c>
      <c r="O67" s="13" t="inlineStr">
        <is>
          <t>3e59883</t>
        </is>
      </c>
      <c r="P67" s="6" t="inlineStr">
        <is>
          <t>[2026-10-12] 新增
[2026-10-12] 2026-10-12：品牌改由部署的環境變數決定，不再按網址判斷（三套分開部署，R-34）。
[2026-10-19] 品牌由執行時的 BRAND 環境變數決定（同一個 image 服務三個品牌）；另刪除 52 個沒有路由使用的 Elato 舊元件和約 30MB 無引用圖片。未合併 dev、未部署。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9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部分通過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N78" s="6" t="inlineStr">
        <is>
          <t>補充 2026-10-15（1.7.5，含 R-36）：已綁定時兩次 Wi-Fi 切換各斷網 9–11 秒，都自動重連並重新 auth，沒有停在暫停狀態；30 秒斷網仍未做</t>
        </is>
      </c>
      <c r="O78" s="13" t="inlineStr">
        <is>
          <t>1bd85ac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
[2026-10-15] rebase 衝突在 networkTask：R-36 的暫停條件和 R-41 的 reportPower() 都保留（reportPower 自己檢查連線）。分支未推送。</t>
        </is>
      </c>
    </row>
    <row r="79" ht="409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新增不自動切換網絡；目前 Wi-Fi 消失時按訊號選，或由家長按「改用這個」（⑦）；清單標示「連過／未連過」⑤ 上限 8 個 ⑥ 韌體改動經 OTA 推出 ⑦ 已記住、未在使用的 Wi-Fi 可按「改用這個」：玩具斷開目前網絡改連它，最多 20 秒，要連上我們的伺服器才算成功；失敗就自動連回原網絡，頁面顯示「連不上 X，已回到 Y」；切換中頁面顯示切換中，玩具重新連上後刷新；成功後標示連過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 ⑦ 62:70：對已存的手機熱點按「改用這個」→ 玩具改連熱點並在 30 秒內重新在線、頁面顯示熱點為目前 Wi-Fi；熱點關掉時按「改用這個」→ 20 秒後回到原網絡、頁面顯示失敗原因；對目前 Wi-Fi、未存的 SSID、別人的設備 → 被拒</t>
        </is>
      </c>
      <c r="M79" s="13" t="n"/>
      <c r="N79" s="6" t="inlineStr">
        <is>
          <t>62:70（1.7.4/1.7.5，2026-10-15）：① 熱點關掉後醒來改連 HKQF - Guest 並上線（發生在醒來重開時）⑦ Use 按鈕、確認框、『Moving to…』；熱點關著時按 Use → 11 秒內頁面顯示『couldn't find lee’s iPhone nearby. It's back on HKQF - Guest』，串口 not_found → Back on Guest → 重連。過程中發現並修正：驅動殘留上一次的『找不到』令連回原網絡立即失敗並掉進 SoftAP（joinFor 6 秒內不信失敗，tryConnect 同用）。pytest 272 passed</t>
        </is>
      </c>
      <c r="O79" s="13" t="inlineStr">
        <is>
          <t>3c180cd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
[2026-10-15] 2026-10-15 用戶決定：加「改用這個 Wi-Fi」（⑦），④ 改為新增不自動切換、可由家長手動切換。起因：62:70 實測加了 iPhone 熱點也無法讓玩具改用。另：離線一律顯示「睡著了」會誤導（63:64 已 6 天未上線仍叫人按按鈕），待改為按上次上線時間分開提示。
[2026-10-15] 測試中修了原有 bug（a4 之後第二個 commit）：驅動在沒連上的網絡斷開時不發事件，WiFi.status() 留著上次的『找不到』，新嘗試一開始就被當失敗；1.7.4 切換失敗後連不回 Guest 並掉進 SoftAP，tryConnect() 也同樣。joinFor() 改為 6 秒後才相信失敗，tryConnect() 共用。雲端韌體同樣有這 bug。另：開機時 tryConnect() 挑最強的網絡但不檢查能否到伺服器，62:70 開機連上到不了 Mac 的熱點後一直卡著（見 P2-22 ④ 或另開任務）。分支 r-37-wifi-switch 未推送。
[2026-10-15] 更正上一條備註：stale『找不到』的修正是 22d7674（切換功能本身是 3c180cd）。
[2026-10-15] 2026-10-15：⑦ 的成功切換在本機測不到（熱點到不了 Mac 上的伺服器），留到部署上 UAT 或雲端後用 iPhone 熱點測一次。
[2026-10-15] 未做：⑦ 熱點開著但到不了伺服器（no_internet）→ 退回；⑦ 成功切換（需第二個能到 Mac 的網絡）；② 密碼打錯。發現：開機挑最強訊號、不檢查能否到伺服器，62:70 開機時連上 iPhone 熱點就一直取不到 token（本機伺服器到不了），建議併入 P2-22 ④ 或另開。分支 r-37-wifi-switch（3c180cd + 修正）未合併、未推送。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  <row r="81" ht="102" customHeight="1">
      <c r="A81" s="13" t="inlineStr">
        <is>
          <t>P2-13</t>
        </is>
      </c>
      <c r="B81" s="13" t="inlineStr">
        <is>
          <t>P2</t>
        </is>
      </c>
      <c r="C81" s="13" t="inlineStr">
        <is>
          <t>2 內測準備</t>
        </is>
      </c>
      <c r="D81" s="6" t="inlineStr">
        <is>
          <t>運維-後台</t>
        </is>
      </c>
      <c r="E81" s="6" t="inlineStr">
        <is>
          <t>Admin 後台改成分組側欄（新頁面先用示例數據預覽）</t>
        </is>
      </c>
      <c r="F81" s="13" t="inlineStr">
        <is>
          <t>進行中</t>
        </is>
      </c>
      <c r="G81" s="13" t="inlineStr">
        <is>
          <t>部分通過</t>
        </is>
      </c>
      <c r="I81" s="6" t="inlineStr">
        <is>
          <t>原本頂部膠囊分頁只放得下 6 頁，之後要加設備、客服、OTA、出廠、用量、審計等頁面放不下；新頁面要先有固定位置和樣子，再逐頁接上真實數據。</t>
        </is>
      </c>
      <c r="J81" s="6" t="inlineStr">
        <is>
          <t>frontend-nextjs/app/components/Admin/AdminDashboard.tsx
frontend-nextjs/app/components/Admin/adminPages.ts
frontend-nextjs/app/components/Admin/preview/（示例數據在 previewData.ts）</t>
        </is>
      </c>
      <c r="K81" s="6" t="inlineStr">
        <is>
          <t>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L81" s="6" t="inlineStr">
        <is>
          <t>① tsc 通過 ② 用略過登入的測試頁檢查超級管理員和內容管理員兩種視角、桌面和手機寬度、#hash 直接打開 ③ 用真實超級管理員帳號登入 /admin，逐頁確認讀到真實數據（Model 讀到 OpenRouter 模型目錄、Latency 有記錄、Characters 可編輯並保存）④ 用內容管理員帳號登入，側欄只有 Characters、IPs</t>
        </is>
      </c>
      <c r="M81" s="13" t="n"/>
      <c r="N81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O81" s="13" t="inlineStr">
        <is>
          <t>77fc4f7</t>
        </is>
      </c>
      <c r="P81" s="6" t="inlineStr">
        <is>
          <t>[2026-10-14] 新增</t>
        </is>
      </c>
    </row>
    <row r="82" ht="60" customHeight="1">
      <c r="A82" s="13" t="inlineStr">
        <is>
          <t>P1-13</t>
        </is>
      </c>
      <c r="B82" s="13" t="inlineStr">
        <is>
          <t>P1</t>
        </is>
      </c>
      <c r="C82" s="13" t="inlineStr">
        <is>
          <t>2 內測準備</t>
        </is>
      </c>
      <c r="D82" s="6" t="inlineStr">
        <is>
          <t>安全-權限</t>
        </is>
      </c>
      <c r="E82" s="6" t="inlineStr">
        <is>
          <t>PLACEHOLDER</t>
        </is>
      </c>
      <c r="F82" s="13" t="inlineStr">
        <is>
          <t>不適用</t>
        </is>
      </c>
      <c r="G82" s="13" t="inlineStr">
        <is>
          <t>未測試</t>
        </is>
      </c>
      <c r="I82" s="6" t="inlineStr">
        <is>
          <t>x</t>
        </is>
      </c>
      <c r="J82" s="6" t="n"/>
      <c r="K82" s="6" t="n"/>
      <c r="L82" s="6" t="n"/>
      <c r="M82" s="13" t="n"/>
      <c r="P82" s="6" t="inlineStr">
        <is>
          <t>[2026-10-14] 新增
[2026-10-14] 2026-10-14 新增任務時指令打錯而誤建的空白行，沒有內容，不代表任何工作。</t>
        </is>
      </c>
    </row>
    <row r="83" ht="172" customHeight="1">
      <c r="A83" s="13" t="inlineStr">
        <is>
          <t>P2-14</t>
        </is>
      </c>
      <c r="B83" s="13" t="inlineStr">
        <is>
          <t>P2</t>
        </is>
      </c>
      <c r="C83" s="13" t="inlineStr">
        <is>
          <t>2 內測準備</t>
        </is>
      </c>
      <c r="D83" s="6" t="inlineStr">
        <is>
          <t>運維-後台</t>
        </is>
      </c>
      <c r="E83" s="6" t="inlineStr">
        <is>
          <t>Admin 設備頁：每台玩具的狀態、韌體與基本操作</t>
        </is>
      </c>
      <c r="F83" s="13" t="inlineStr">
        <is>
          <t>已完成</t>
        </is>
      </c>
      <c r="G83" s="13" t="inlineStr">
        <is>
          <t>通過</t>
        </is>
      </c>
      <c r="H83" s="13" t="inlineStr">
        <is>
          <t>2026-10-15</t>
        </is>
      </c>
      <c r="I83" s="6" t="inlineStr">
        <is>
          <t>內部測試有 20 台在外面，玩具連不上時只能直接查資料庫或靠家長描述；NVS 被清空後要手動刪 device_secrets 那一行。數據大多已在 devices 表（last_seen_at、firmware_version、ota_failed_*、claimed_at），只是沒有地方顯示。</t>
        </is>
      </c>
      <c r="J83" s="6" t="inlineStr">
        <is>
          <t>frontend-nextjs/app/components/Admin/preview/DevicesPreview.tsx（換成真實數據）
devices、device_secrets 表
server/fastapi/server.py（在線狀態：device_wifi.snapshot 已有 online，需開一個只讀的內部接口）</t>
        </is>
      </c>
      <c r="K83" s="6" t="inlineStr">
        <is>
          <t>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L83" s="6" t="inlineStr">
        <is>
          <t>① 開發板 62:70 開機 → 1 分鐘內顯示在線；拔電 → 顯示離線 ② 對開發板「重置設備密鑰」→ device_secrets 該行刪除，板子重開後重新登記成功 ③「強制解綁」一台測試設備 → 設備回到配對狀態，審計表多一筆含原因 ④ 用內容管理員 JWT 讀 devices 管理接口被拒</t>
        </is>
      </c>
      <c r="M83" s="13" t="inlineStr">
        <is>
          <t>P1-10, P2-13</t>
        </is>
      </c>
      <c r="N83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O83" s="13" t="inlineStr">
        <is>
          <t>1d31bb0</t>
        </is>
      </c>
      <c r="P83" s="6" t="inlineStr">
        <is>
          <t>[2026-10-14] 新增
[2026-10-14] devices.ip_key 未有（R-38），IP 欄暫顯示「未鎖定」。部署要三件一起：migration、語音伺服器（/internal/devices_presence）、網頁。在線只代表有語音連線，睡眠和關機都算離線。
[2026-10-15] 頁面在分頁不可見時不輪詢（設計如此），可見時立即刷新。測完已用 SQL 把 62:70 綁回 multi-device-test@example.test。</t>
        </is>
      </c>
    </row>
    <row r="84" ht="88" customHeight="1">
      <c r="A84" s="13" t="inlineStr">
        <is>
          <t>P2-15</t>
        </is>
      </c>
      <c r="B84" s="13" t="inlineStr">
        <is>
          <t>P2</t>
        </is>
      </c>
      <c r="C84" s="13" t="inlineStr">
        <is>
          <t>3 封閉內測</t>
        </is>
      </c>
      <c r="D84" s="6" t="inlineStr">
        <is>
          <t>運維-後台</t>
        </is>
      </c>
      <c r="E84" s="6" t="inlineStr">
        <is>
          <t>Admin 總覽頁：在線、用量、成本與待處理事項</t>
        </is>
      </c>
      <c r="F84" s="13" t="inlineStr">
        <is>
          <t>未開始</t>
        </is>
      </c>
      <c r="G84" s="13" t="inlineStr">
        <is>
          <t>未測試</t>
        </is>
      </c>
      <c r="I84" s="6" t="inlineStr">
        <is>
          <t>每天要逐頁看才知道有沒有問題；內部測試期間需要一眼看到在線數、今日成本和要處理的設備。</t>
        </is>
      </c>
      <c r="J84" s="6" t="inlineStr">
        <is>
          <t>frontend-nextjs/app/components/Admin/preview/OverviewPreview.tsx（換成真實數據）</t>
        </is>
      </c>
      <c r="K84" s="6" t="inlineStr">
        <is>
          <t>顯示：在線玩具／已綁定、今日對話輪數、今日成本與每台成本、待處理數；近 14 天活躍設備與輪數趨勢；韌體版本分佈；待處理清單（OTA 回滾、用量異常、供應商錯誤率），每項可跳到對應頁；最近管理操作取自審計記錄。所有數字與設備頁、用量頁一致。</t>
        </is>
      </c>
      <c r="L84" s="6" t="inlineStr">
        <is>
          <t>用 SQL 直接算同一天的在線數、輪數、成本和韌體分佈，與總覽頁數字逐項對照一致；製造一台 OTA 回滾（ota_failed_version）→ 出現在待處理並能跳到該設備</t>
        </is>
      </c>
      <c r="M84" s="13" t="inlineStr">
        <is>
          <t>P2-14, P2-09</t>
        </is>
      </c>
      <c r="P84" s="6" t="inlineStr">
        <is>
          <t>[2026-10-14] 新增</t>
        </is>
      </c>
    </row>
    <row r="85" ht="409" customHeight="1">
      <c r="A85" s="13" t="inlineStr">
        <is>
          <t>P2-16</t>
        </is>
      </c>
      <c r="B85" s="13" t="inlineStr">
        <is>
          <t>P2</t>
        </is>
      </c>
      <c r="C85" s="13" t="inlineStr">
        <is>
          <t>2 內測準備</t>
        </is>
      </c>
      <c r="D85" s="6" t="inlineStr">
        <is>
          <t>運維-OTA</t>
        </is>
      </c>
      <c r="E85" s="6" t="inlineStr">
        <is>
          <t>OTA 分批推送與後台發佈頁</t>
        </is>
      </c>
      <c r="F85" s="13" t="inlineStr">
        <is>
          <t>已完成</t>
        </is>
      </c>
      <c r="G85" s="13" t="inlineStr">
        <is>
          <t>通過</t>
        </is>
      </c>
      <c r="H85" s="13" t="inlineStr">
        <is>
          <t>2026-10-15</t>
        </is>
      </c>
      <c r="I85" s="6" t="inlineStr">
        <is>
          <t>現在設為 current 的版本會一次推給該板型的所有設備；3,000 台出貨後，一個壞版本會同時推給全部設備。發佈只能在 Mac 上用 release_firmware.py，要手動貼 service key。分批推送只改伺服器決定哪台收到 ota，不用改韌體，所以不受 11/27 韌體定版的時限限制，但必須在出貨後第一次 OTA 之前完成。</t>
        </is>
      </c>
      <c r="J85" s="6" t="inlineStr">
        <is>
          <t>frontend-nextjs/app/components/Admin/preview/OtaPreview.tsx（換成真實數據）
frontend-nextjs/app/api/generate_auth_token/route.ts（回傳 ota 的地方）
firmware_releases 表、firmware-arduino/tools/release_firmware.py</t>
        </is>
      </c>
      <c r="K85" s="6" t="inlineStr">
        <is>
          <t>後台可上傳韌體（伺服器算 SHA-256、寫 firmware_releases）、填說明、設為 current；推送分階段：白名單 MAC → 10% → 50% → 100%，按 MAC 雜湊穩定分組；回滾率超過 5% 即自動暫停（2026-10-14 拿走「同一台重啟 3 次」，見 P2-19）；顯示每個版本已更新、回滾台數與回滾設備清單；顯示 app 分區用量（P2-12）；每個發佈操作寫入審計記錄。</t>
        </is>
      </c>
      <c r="L85" s="6" t="inlineStr">
        <is>
          <t>本機 Supabase 模擬 20 台：① 10% 階段只有約 2 台拿到 ota，重複請求結果不變 ② 讓 2 台回報 failed_version → 自動暫停，其餘不再拿到 ota ③ 推到 100% 全部拿到 ④ 開發板 62:70 實機走一次白名單階段並確認新版本 ⑤ 審計表有每次階段變更</t>
        </is>
      </c>
      <c r="M85" s="13" t="inlineStr">
        <is>
          <t>P0-13, P2-14, P1-10, P2-17, P2-18, P2-19, P2-20, P2-21</t>
        </is>
      </c>
      <c r="N85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O85" s="13" t="inlineStr">
        <is>
          <t>e0d7ac6</t>
        </is>
      </c>
      <c r="P85" s="6" t="inlineStr">
        <is>
          <t>[2026-10-14] 新增
[2026-10-14] 2026-10-14 開分支 p2-16-ota-rollout（worktree ../aibuddy-p216，從 dev cac98aa）；拆成 P2-17～P2-21 五項子任務，本項的測試方法即整體驗收（含 62:70 實機白名單）。
[2026-10-14] 2026-10-14 用戶決定提前到第 2 階段，現在開始做
[2026-10-14] 2026-10-14 用戶決定拿走「同一台重啟 3 次即暫停」，原因見 P2-19
[2026-10-14] 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
[2026-10-15] 附帶：一開始本機 current 是 1.6.2（以舊 IP/端口編譯），1.7.0 開機就被推 1.6.2，裝上後連不上，試用期內重開即回到 1.7.0（非崩潰，判定會再試），回滾路徑實機正常。之後用 SQL 暫停 1.6.2。用腳本發佈的新版本要重新載入 OTA 頁才出現。</t>
        </is>
      </c>
    </row>
    <row r="86" ht="130" customHeight="1">
      <c r="A86" s="13" t="inlineStr">
        <is>
          <t>R-39</t>
        </is>
      </c>
      <c r="B86" s="13" t="inlineStr">
        <is>
          <t>R</t>
        </is>
      </c>
      <c r="C86" s="13" t="inlineStr">
        <is>
          <t>3 封閉內測</t>
        </is>
      </c>
      <c r="D86" s="6" t="inlineStr">
        <is>
          <t>生產</t>
        </is>
      </c>
      <c r="E86" s="6" t="inlineStr">
        <is>
          <t>Admin 出廠登記頁：匯入 MAC 清單、指定公仔、查看自檢結果</t>
        </is>
      </c>
      <c r="F86" s="13" t="inlineStr">
        <is>
          <t>未開始</t>
        </is>
      </c>
      <c r="G86" s="13" t="inlineStr">
        <is>
          <t>未測試</t>
        </is>
      </c>
      <c r="I86" s="6" t="inlineStr">
        <is>
          <t>3,000 台的 MAC、公仔和 IP 不可能逐台手動改資料庫；工位登記結果（R-10）要有地方看，才知道哪批哪台沒通過。要在 12/14 量產前跟工位腳本一起用小批量試產跑通。</t>
        </is>
      </c>
      <c r="J86" s="6" t="inlineStr">
        <is>
          <t>frontend-nextjs/app/components/Admin/preview/FactoryPreview.tsx（換成真實數據）
新表：出廠批次與每台 QC 記錄
R-10 工位腳本的登記接口</t>
        </is>
      </c>
      <c r="K86" s="6" t="inlineStr">
        <is>
          <t>可匯入 Spotpear 的 MAC 清單 CSV（MAC、批次、日期），重複或格式錯誤的行跳過並列出；每批顯示已匯入、已寫密鑰、自檢通過、自檢失敗、未開始的數量；可整批為未寫密鑰的板子指定公仔（IP）；顯示工位回傳的每台自檢結果（咪、喇叭、燈、按鍵、Wi-Fi）與失敗原因；寫入密鑰後公仔鎖定，只有超級管理員能在此改，家長端不能改（R-38）；可匯出失敗清單；只看到分配給本部署的板子；匯入和指定都寫入審計記錄。</t>
        </is>
      </c>
      <c r="L86" s="6" t="inlineStr">
        <is>
          <t>① 匯入 300 行 CSV，其中 3 行重複、1 行格式錯 → 新增 296 行並列出 4 行 ② 為 20 台指定公仔後，工位腳本處理其中 10 台 → 進度與 QC 記錄正確，已寫密鑰的不能再改公仔 ③ 匯出失敗清單內容與 QC 記錄一致</t>
        </is>
      </c>
      <c r="M86" s="13" t="inlineStr">
        <is>
          <t>R-38, P1-10</t>
        </is>
      </c>
      <c r="P86" s="6" t="inlineStr">
        <is>
          <t>[2026-10-14] 新增</t>
        </is>
      </c>
    </row>
    <row r="87" ht="116" customHeight="1">
      <c r="A87" s="13" t="inlineStr">
        <is>
          <t>R-40</t>
        </is>
      </c>
      <c r="B87" s="13" t="inlineStr">
        <is>
          <t>R</t>
        </is>
      </c>
      <c r="C87" s="13" t="inlineStr">
        <is>
          <t>4 量產出貨</t>
        </is>
      </c>
      <c r="D87" s="6" t="inlineStr">
        <is>
          <t>營運</t>
        </is>
      </c>
      <c r="E87" s="6" t="inlineStr">
        <is>
          <t>Admin 客服查詢頁：查帳號、名下設備與最近事件</t>
        </is>
      </c>
      <c r="F87" s="13" t="inlineStr">
        <is>
          <t>未開始</t>
        </is>
      </c>
      <c r="G87" s="13" t="inlineStr">
        <is>
          <t>未測試</t>
        </is>
      </c>
      <c r="I87" s="6" t="inlineStr">
        <is>
          <t>家長來電時要能用一個搜尋找到帳號和玩具；R-11 要求的報修、診斷、換機流程現在沒有工具，只能直接改資料庫。</t>
        </is>
      </c>
      <c r="J87" s="6" t="inlineStr">
        <is>
          <t>frontend-nextjs/app/components/Admin/preview/SupportPreview.tsx（換成真實數據）
auth.users（service role，只在伺服器端讀）
devices、users 表</t>
        </is>
      </c>
      <c r="K87" s="6" t="inlineStr">
        <is>
          <t>可用 email、MAC 或設備名稱後四位查到帳號；顯示註冊時間、登入方式、家長鎖與使用上限設定、名下設備（狀態、韌體、上次上線）和最近的系統事件（連線失敗、OTA、綁定、Wi-Fi 變更）；動作：解綁、換機（解綁舊機、綁新機、記憶搬到新設備，按 P1-12 的定案）、重發登入驗證碼、刪除帳號及資料；每個動作要填原因並寫入審計記錄；不顯示對話、記憶、孩子的性格描述（Q7）。</t>
        </is>
      </c>
      <c r="L87" s="6" t="inlineStr">
        <is>
          <t>按 R-11 演練一次：用測試帳號模擬家長報修 → 在客服頁找到帳號和設備、看到事件 → 換機到另一台測試設備，新設備保留記憶 → 審計表有每一步；刪除測試帳號後，其對話、記憶和綁定都已刪除</t>
        </is>
      </c>
      <c r="M87" s="13" t="inlineStr">
        <is>
          <t>P2-14, P1-10, P1-12</t>
        </is>
      </c>
      <c r="P87" s="6" t="inlineStr">
        <is>
          <t>[2026-10-14] 新增</t>
        </is>
      </c>
    </row>
    <row r="88" ht="74" customHeight="1">
      <c r="A88" s="13" t="inlineStr">
        <is>
          <t>P1-14</t>
        </is>
      </c>
      <c r="B88" s="13" t="inlineStr">
        <is>
          <t>P1</t>
        </is>
      </c>
      <c r="C88" s="13" t="inlineStr">
        <is>
          <t>3 封閉內測</t>
        </is>
      </c>
      <c r="D88" s="6" t="inlineStr">
        <is>
          <t>兒童安全</t>
        </is>
      </c>
      <c r="E88" s="6" t="inlineStr">
        <is>
          <t>Admin 內容安全頁：審核事件只按類別統計</t>
        </is>
      </c>
      <c r="F88" s="13" t="inlineStr">
        <is>
          <t>未開始</t>
        </is>
      </c>
      <c r="G88" s="13" t="inlineStr">
        <is>
          <t>未測試</t>
        </is>
      </c>
      <c r="I88" s="6" t="inlineStr">
        <is>
          <t>P1-01 審核層會記錄攔截事件，但沒有地方看；某台設備或某個角色攔截突然變多時沒人知道。</t>
        </is>
      </c>
      <c r="J88" s="6" t="inlineStr">
        <is>
          <t>frontend-nextjs/app/components/Admin/adminPages.ts（目前是規劃頁 safety）
P1-01 的審核事件表</t>
        </is>
      </c>
      <c r="K88" s="6" t="inlineStr">
        <is>
          <t>按日顯示輸入和回覆被攔截的次數，只按類別（暴力、性、個人資料、自我傷害等），不顯示原文（Q7）；可按角色和設備看攔截率；單台設備單日攔截數超過門檻時出現在總覽的待處理；只有超級管理員能讀。</t>
        </is>
      </c>
      <c r="L88" s="6" t="inlineStr">
        <is>
          <t>在測試設備上觸發每個類別各 3 次 → 頁面計數與審核事件表一致；資料庫和頁面回應中都找不到觸發用的原文</t>
        </is>
      </c>
      <c r="M88" s="13" t="inlineStr">
        <is>
          <t>P1-01, P2-13</t>
        </is>
      </c>
      <c r="P88" s="6" t="inlineStr">
        <is>
          <t>[2026-10-14] 新增</t>
        </is>
      </c>
    </row>
    <row r="89" ht="116" customHeight="1">
      <c r="A89" s="13" t="inlineStr">
        <is>
          <t>R-41</t>
        </is>
      </c>
      <c r="B89" s="13" t="inlineStr">
        <is>
          <t>R</t>
        </is>
      </c>
      <c r="C89" s="13" t="inlineStr">
        <is>
          <t>2 內測準備</t>
        </is>
      </c>
      <c r="D89" s="6" t="inlineStr">
        <is>
          <t>產品</t>
        </is>
      </c>
      <c r="E89" s="6" t="inlineStr">
        <is>
          <t>App 顯示玩具電量狀態（低電量提示）</t>
        </is>
      </c>
      <c r="F89" s="13" t="inlineStr">
        <is>
          <t>已完成</t>
        </is>
      </c>
      <c r="G89" s="13" t="inlineStr">
        <is>
          <t>通過</t>
        </is>
      </c>
      <c r="H89" s="13" t="inlineStr">
        <is>
          <t>2026-10-14</t>
        </is>
      </c>
      <c r="I89" s="6" t="inlineStr">
        <is>
          <t>家長在 App 看不到玩具快沒電，只能靠玩具自己播提醒；玩具多數時間休眠，伺服器記憶體裡的狀態一重啟就沒了。</t>
        </is>
      </c>
      <c r="J89" s="6" t="inlineStr">
        <is>
          <t>firmware-arduino/src/Audio.cpp（reportPower）；server/fastapi/device_power.py；supabase/migrations（devices.battery_*）；frontend-nextjs 設備頁</t>
        </is>
      </c>
      <c r="K89" s="6" t="inlineStr">
        <is>
          <t>玩具每次連上語音伺服器並收到 auth 後上報一次電量狀態，狀態改變時再報；伺服器寫入 devices.battery_low / battery_percent / battery_charging / battery_at；App 設備頁顯示「電量正常／電量低，請充電」和最後更新時間，玩具離線時仍顯示最後已知狀態；沒有電量檢測的板不顯示電量。Spotpear 板只有高低兩態（R-16 改板後才有百分比）。</t>
        </is>
      </c>
      <c r="L89" s="6" t="inlineStr">
        <is>
          <t>① 單元測試：伺服器只接受 power 訊息的合法欄位並寫入對應 MAC 的 devices 行 ② 62:70 用 SUPPLY_LOW_RATIO_OVERRIDE 強制低電量：本地 DB battery_low=true、App 顯示電量低 ③ 改回正常固件重連：battery_low=false、App 顯示正常 ④ 玩具斷線後 App 仍顯示最後狀態和時間 ⑤ 其他用戶讀不到這幾欄（RLS）</t>
        </is>
      </c>
      <c r="M89" s="13" t="n"/>
      <c r="N8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O89" s="13" t="inlineStr">
        <is>
          <t>42b4437</t>
        </is>
      </c>
      <c r="P89" s="6" t="inlineStr">
        <is>
          <t>[2026-10-14] 新增
[2026-10-14] 2026-10-14：rebase 後合併入 dev（42b4437）。migration 改名 20261014153000_device_battery.sql，避開同時間戳的 admin_accounts；powerSent 重置改到收到 auth 時。未部署。</t>
        </is>
      </c>
    </row>
    <row r="90" ht="256" customHeight="1">
      <c r="A90" s="13" t="inlineStr">
        <is>
          <t>P2-17</t>
        </is>
      </c>
      <c r="B90" s="13" t="inlineStr">
        <is>
          <t>P2</t>
        </is>
      </c>
      <c r="C90" s="13" t="inlineStr">
        <is>
          <t>2 內測準備</t>
        </is>
      </c>
      <c r="D90" s="6" t="inlineStr">
        <is>
          <t>運維-OTA</t>
        </is>
      </c>
      <c r="E90" s="6" t="inlineStr">
        <is>
          <t>P2-16 ① 分批推送的數據表：推送階段、白名單、每台安裝結果</t>
        </is>
      </c>
      <c r="F90" s="13" t="inlineStr">
        <is>
          <t>已完成</t>
        </is>
      </c>
      <c r="G90" s="13" t="inlineStr">
        <is>
          <t>通過</t>
        </is>
      </c>
      <c r="H90" s="13" t="inlineStr">
        <is>
          <t>2026-10-14</t>
        </is>
      </c>
      <c r="I90" s="6" t="inlineStr">
        <is>
          <t>firmware_releases 只有 is_current 一個開關，沒地方記推到哪個階段、是否暫停，也沒有每台對每個版本的安裝記錄，自動暫停和後台統計都無從算起。</t>
        </is>
      </c>
      <c r="J90" s="6" t="inlineStr">
        <is>
          <t>supabase/migrations/（新 migration）、firmware_releases、devices</t>
        </is>
      </c>
      <c r="K90" s="6" t="inlineStr">
        <is>
          <t>firmware_releases 加推送狀態（階段：白名單／10%／50%／100%、白名單 MAC、暫停與原因、階段變更時間）；新表記錄每台對每個版本：首次下發、下發次數、確認（回報版本＝該版）、回滾（failed_version＝該版）；只有超級管理員能讀，寫入只經 service role 或帶審計的 admin RPC；舊的 is_current 發佈照常可用（視為 100%）。</t>
        </is>
      </c>
      <c r="L90" s="6" t="inlineStr">
        <is>
          <t>本機 Supabase BEGIN/ROLLBACK 套用兩次無錯；經 REST 用 GoTrue 真實登入：anon 讀新表 → 42501，內容管理員讀新表 → 0 行（RLS，與 firmware_releases 一致），anon／內容管理員／超管寫新表、改發佈階段、呼叫 ota_note_* → 42501，超管可讀；現有 release_firmware.py promote 後 current 版本照常被 token 路徑的查詢選中</t>
        </is>
      </c>
      <c r="M90" s="13" t="inlineStr">
        <is>
          <t>P0-13</t>
        </is>
      </c>
      <c r="N90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O90" s="13" t="inlineStr">
        <is>
          <t>c510e02</t>
        </is>
      </c>
      <c r="P90" s="6" t="inlineStr">
        <is>
          <t>[2026-10-14] 新增：2026-10-14 分支 p2-16-ota-rollout（worktree ../aibuddy-p216）
[2026-10-14] 2026-10-14 用戶決定提前到第 2 階段，現在開始做
[2026-10-14] 測試方法修正：內容管理員讀取在 RLS 下是 200 + 0 行而非 42501，保護效果相同（看不到任何行），寫入一律 42501
[2026-10-14] commit 在分支 p2-16-ota-rollout（rebase 後 9f44e32 → 8675970），未合併到 dev、未部署
[2026-10-14] commit 再次 rebase 後為 c510e02（分支 p2-16-ota-rollout）。之後分支不再為追蹤表 commit rebase，hash 到合併時才會變</t>
        </is>
      </c>
    </row>
    <row r="91" ht="214" customHeight="1">
      <c r="A91" s="13" t="inlineStr">
        <is>
          <t>P2-18</t>
        </is>
      </c>
      <c r="B91" s="13" t="inlineStr">
        <is>
          <t>P2</t>
        </is>
      </c>
      <c r="C91" s="13" t="inlineStr">
        <is>
          <t>2 內測準備</t>
        </is>
      </c>
      <c r="D91" s="6" t="inlineStr">
        <is>
          <t>運維-OTA</t>
        </is>
      </c>
      <c r="E91" s="6" t="inlineStr">
        <is>
          <t>P2-16 ② 按 MAC 雜湊穩定分組決定哪台收到 ota</t>
        </is>
      </c>
      <c r="F91" s="13" t="inlineStr">
        <is>
          <t>已完成</t>
        </is>
      </c>
      <c r="G91" s="13" t="inlineStr">
        <is>
          <t>通過</t>
        </is>
      </c>
      <c r="H91" s="13" t="inlineStr">
        <is>
          <t>2026-10-14</t>
        </is>
      </c>
      <c r="I91" s="6" t="inlineStr">
        <is>
          <t>現在 current 版本一次推給同板型全部設備，3,000 台出貨後一個壞版本會同時打到所有人。</t>
        </is>
      </c>
      <c r="J91" s="6" t="inlineStr">
        <is>
          <t>frontend-nextjs/lib/ota.ts（recordReportAndDecide）、frontend-nextjs/app/api/generate_auth_token/route.ts</t>
        </is>
      </c>
      <c r="K91" s="6" t="inlineStr">
        <is>
          <t>白名單階段只有名單內 MAC 拿到 ota；10%／50%／100% 按 MAC 雜湊（加版本作鹽）穩定分組，同一台重複請求結果不變，升階段時已在組內的不會掉出；暫停時一律不下發；每次下發與結果寫入 ① 的記錄；不用改韌體。</t>
        </is>
      </c>
      <c r="L91" s="6" t="inlineStr">
        <is>
          <t>單元測試：10,000 個隨機 MAC 在 10%／50% 的比例誤差 &lt; 1 個百分點，同 MAC 重複呼叫結果一致；本機腳本模擬 20 台 POST /api/generate_auth_token：10% 階段約 2 台拿到 ota，重複請求名單不變，100% 全部拿到</t>
        </is>
      </c>
      <c r="M91" s="13" t="inlineStr">
        <is>
          <t>P2-17</t>
        </is>
      </c>
      <c r="N91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O91" s="13" t="inlineStr">
        <is>
          <t>e57529d</t>
        </is>
      </c>
      <c r="P91" s="6" t="inlineStr">
        <is>
          <t>[2026-10-14] 新增
[2026-10-14] 2026-10-14 用戶決定提前到第 2 階段，現在開始做</t>
        </is>
      </c>
    </row>
    <row r="92" ht="214" customHeight="1">
      <c r="A92" s="13" t="inlineStr">
        <is>
          <t>P2-19</t>
        </is>
      </c>
      <c r="B92" s="13" t="inlineStr">
        <is>
          <t>P2</t>
        </is>
      </c>
      <c r="C92" s="13" t="inlineStr">
        <is>
          <t>2 內測準備</t>
        </is>
      </c>
      <c r="D92" s="6" t="inlineStr">
        <is>
          <t>運維-OTA</t>
        </is>
      </c>
      <c r="E92" s="6" t="inlineStr">
        <is>
          <t>P2-16 ③ 回滾過多時自動暫停推送</t>
        </is>
      </c>
      <c r="F92" s="13" t="inlineStr">
        <is>
          <t>已完成</t>
        </is>
      </c>
      <c r="G92" s="13" t="inlineStr">
        <is>
          <t>通過</t>
        </is>
      </c>
      <c r="H92" s="13" t="inlineStr">
        <is>
          <t>2026-10-14</t>
        </is>
      </c>
      <c r="I92" s="6" t="inlineStr">
        <is>
          <t>壞版本推到 10% 後沒人盯著就會繼續推；板子在試用期內斷電重啟會重試安裝（最多 2 次），伺服器要從同一台反覆下發看出問題。</t>
        </is>
      </c>
      <c r="J92" s="6" t="inlineStr">
        <is>
          <t>frontend-nextjs/lib/ota.ts、① 的每台記錄</t>
        </is>
      </c>
      <c r="K92" s="6" t="inlineStr">
        <is>
          <t>已下發的設備中回滾率 &gt; 5% 即自動暫停該版本並記下原因（台數少的階段第一台回滾就暫停）；暫停後其餘設備不再拿到 ota、映像不再提供下載；已在運行該版本的設備不受影響；自動暫停寫入審計記錄（操作者為空、paused_by 為空、原因以 Auto-paused 開頭）；只能由超級管理員恢復，恢復後要有新的回滾才會再判斷。</t>
        </is>
      </c>
      <c r="L92" s="6" t="inlineStr">
        <is>
          <t>本機模擬 20 台（分支 dev server + 本機 Supabase）：100% 階段 1 台回滾（5%）不暫停；第 2 台回滾（10%）→ 暫停、原因含回滾率，其餘 18 台不再拿到 ota；已運行新版的設備照常；審計多一筆、actor 為空；恢復後保持恢復，第 3 台回滾再暫停；白名單 2 台中 1 台回滾 → 立即暫停；anon 呼叫 ota_maybe_pause → 42501</t>
        </is>
      </c>
      <c r="M92" s="13" t="inlineStr">
        <is>
          <t>P2-18</t>
        </is>
      </c>
      <c r="N92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O92" s="13" t="inlineStr">
        <is>
          <t>9500d50</t>
        </is>
      </c>
      <c r="P92" s="6" t="inlineStr">
        <is>
          <t>[2026-10-14] 新增
[2026-10-14] 2026-10-14 用戶決定提前到第 2 階段，現在開始做
[2026-10-14] 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</t>
        </is>
      </c>
    </row>
    <row r="93" ht="368" customHeight="1">
      <c r="A93" s="13" t="inlineStr">
        <is>
          <t>P2-20</t>
        </is>
      </c>
      <c r="B93" s="13" t="inlineStr">
        <is>
          <t>P2</t>
        </is>
      </c>
      <c r="C93" s="13" t="inlineStr">
        <is>
          <t>2 內測準備</t>
        </is>
      </c>
      <c r="D93" s="6" t="inlineStr">
        <is>
          <t>運維-OTA</t>
        </is>
      </c>
      <c r="E93" s="6" t="inlineStr">
        <is>
          <t>P2-16 ④ 從後台上傳與發佈韌體（取代手貼 service key）</t>
        </is>
      </c>
      <c r="F93" s="13" t="inlineStr">
        <is>
          <t>已完成</t>
        </is>
      </c>
      <c r="G93" s="13" t="inlineStr">
        <is>
          <t>通過</t>
        </is>
      </c>
      <c r="H93" s="13" t="inlineStr">
        <is>
          <t>2026-10-14</t>
        </is>
      </c>
      <c r="I93" s="6" t="inlineStr">
        <is>
          <t>發佈只能在 Mac 上跑 release_firmware.py，還要在 Terminal 貼伺服器上的 service key；多品牌後每套各要一次。</t>
        </is>
      </c>
      <c r="J93" s="6" t="inlineStr">
        <is>
          <t>frontend-nextjs/app/api/admin/（新的上傳 route）、firmware storage bucket、firmware-arduino/tools/release_firmware.py</t>
        </is>
      </c>
      <c r="K93" s="6" t="inlineStr">
        <is>
          <t>只有超級管理員能上傳；伺服器自己算 SHA-256 與大小，檢查是 ESP32 映像、大小不超過 app 分區（P2-12）、版本號沒發佈過、不是開發版；寫入 firmware storage 和 firmware_releases（含說明），上傳後狀態為草稿，不會下發；上傳、刪除草稿都寫審計記錄；release_firmware.py 照常可用。</t>
        </is>
      </c>
      <c r="L93" s="6" t="inlineStr">
        <is>
          <t>本機：超管上傳 spotpear-ai-toy build → firmware_releases 新行 SHA-256 與本地 shasum -a 256 一致，任何設備都還拿不到 ota；重複版本、超出分區、非 ESP32 檔、localall build 各被拒；內容管理員上傳 → 403；審計表有上傳記錄</t>
        </is>
      </c>
      <c r="M93" s="13" t="inlineStr">
        <is>
          <t>P2-17, P1-10</t>
        </is>
      </c>
      <c r="N93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O93" s="13" t="inlineStr">
        <is>
          <t>ebe8dc9</t>
        </is>
      </c>
      <c r="P93" s="6" t="inlineStr">
        <is>
          <t>[2026-10-14] 新增
[2026-10-14] 2026-10-14 用戶決定提前到第 2 階段，現在開始做
[2026-10-14] 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
[2026-10-16] 部署：nginx 上傳上限已寫進上線腳本 step 3c（conf.d/00-upload-limit.conf，16m，nginx -t 後 reload，並以 2MB POST 驗證不是 413；step 5 再查一次），本機 nginx 容器測過 4 種情況。commit b1e9d20，未推送</t>
        </is>
      </c>
    </row>
    <row r="94" ht="116" customHeight="1">
      <c r="A94" s="13" t="inlineStr">
        <is>
          <t>P2-21</t>
        </is>
      </c>
      <c r="B94" s="13" t="inlineStr">
        <is>
          <t>P2</t>
        </is>
      </c>
      <c r="C94" s="13" t="inlineStr">
        <is>
          <t>2 內測準備</t>
        </is>
      </c>
      <c r="D94" s="6" t="inlineStr">
        <is>
          <t>運維-OTA</t>
        </is>
      </c>
      <c r="E94" s="6" t="inlineStr">
        <is>
          <t>P2-16 ⑤ 後台 OTA 頁換成真實數據與操作</t>
        </is>
      </c>
      <c r="F94" s="13" t="inlineStr">
        <is>
          <t>已完成</t>
        </is>
      </c>
      <c r="G94" s="13" t="inlineStr">
        <is>
          <t>通過</t>
        </is>
      </c>
      <c r="H94" s="13" t="inlineStr">
        <is>
          <t>2026-10-15</t>
        </is>
      </c>
      <c r="I94" s="6" t="inlineStr">
        <is>
          <t>OTA 頁現在是示例數據（OtaPreview），看不到哪個版本推到哪、誰回滾了。</t>
        </is>
      </c>
      <c r="J94" s="6" t="inlineStr">
        <is>
          <t>frontend-nextjs/app/components/Admin/preview/OtaPreview.tsx → 新的 OtaTab.tsx、adminPages.ts（ota 改為 live）</t>
        </is>
      </c>
      <c r="K94" s="6" t="inlineStr">
        <is>
          <t>按板型列出版本：狀態（草稿／推送中＋階段／暫停＋原因／現行／舊版）、已更新／目標台數、回滾台數、大小、發佈時間、說明；單一版本可編輯白名單、推進下一階段、暫停／恢復、撤下；回滾設備清單可點進設備頁；顯示 app 分區用量（P2-12）；每個操作要確認並寫審計記錄；只有超級管理員可見；375px 無橫向捲動。</t>
        </is>
      </c>
      <c r="L94" s="6" t="inlineStr">
        <is>
          <t>本機瀏覽器：上傳 → 白名單加 62:70 → 推進 10% → 50% → 100%，每步台數和模擬 20 台的結果一致；③ 觸發暫停後頁面顯示原因並可恢復；審計頁看到每次階段變更；內容管理員看不到該頁</t>
        </is>
      </c>
      <c r="M94" s="13" t="inlineStr">
        <is>
          <t>P2-18, P2-19, P2-20, P2-14</t>
        </is>
      </c>
      <c r="N94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O94" s="13" t="inlineStr">
        <is>
          <t>e0d7ac6</t>
        </is>
      </c>
      <c r="P94" s="6" t="inlineStr">
        <is>
          <t>[2026-10-14] 新增
[2026-10-14] 2026-10-14 用戶決定提前到第 2 階段，現在開始做
[2026-10-14] 未完成：依賴 P2-14 的真板測試未做；測試方法中『白名單加 62:70』以模擬設備代替，實機一步歸 P2-16 ④，等板子到手一起做</t>
        </is>
      </c>
    </row>
    <row r="95" ht="409" customHeight="1">
      <c r="A95" s="13" t="inlineStr">
        <is>
          <t>P2-22</t>
        </is>
      </c>
      <c r="B95" s="13" t="inlineStr">
        <is>
          <t>P2</t>
        </is>
      </c>
      <c r="C95" s="13" t="inlineStr">
        <is>
          <t>3 封閉內測</t>
        </is>
      </c>
      <c r="D95" s="6" t="inlineStr">
        <is>
          <t>OTA/韌體</t>
        </is>
      </c>
      <c r="E95" s="6" t="inlineStr">
        <is>
          <t>改服務器網址也不失聯：語音網址由後端下發、後端網址可遷移、已確認韌體長期連不上時自救</t>
        </is>
      </c>
      <c r="F95" s="13" t="inlineStr">
        <is>
          <t>進行中</t>
        </is>
      </c>
      <c r="G95" s="13" t="inlineStr">
        <is>
          <t>部分通過</t>
        </is>
      </c>
      <c r="I95" s="6" t="inlineStr">
        <is>
          <t>OTA 和取 token 都走後端（backend_server），語音伺服器網址（ws_server/ws_path，現為 elatoai.hkqft.com/fastapi/ws/esp32）寫死在韌體裡。日後改 FastAPI 網址就要先推新韌體，而新韌體在試用期內連不上新網址會被回滾；後端網址一改，現有板子連 OTA 都收不到，只能 USB 救。另一個缺口：已確認（過了試用期）的韌體如果之後一直連不上服務器但不崩潰，682f3b4 的連續崩溃切槽不會觸發，板子收不到修復。</t>
        </is>
      </c>
      <c r="J95" s="6" t="inlineStr">
        <is>
          <t>firmware-arduino/src/Config.cpp（ws_server、ws_port、ws_path、backend_server、CF_CA_bundle）、src/OTA.cpp（otaBootCheck、usableOtherSlot）、取 token 的流程；frontend-nextjs 的 /api/generate_auth_token（回應加 voice_url / backend_url）；R-35 的 NVS 網址</t>
        </is>
      </c>
      <c r="K95" s="6" t="inlineStr">
        <is>
          <t>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L95" s="6" t="inlineStr">
        <is>
          <t>① 62:70（-localall）：後端環境變數把 voice_url 改到另一個端口的語音伺服器，重開機 → 連上新的，不需刷機 ② 把 voice_url 改成連不上的地址 → 退回 NVS 上次成功的值，照常對話 ③ backend_url 指向第二個本地後端 → 下次開機在新後端取 token 成功並替換；指向不存在的地址 → 繼續用舊的，對話不中斷 ④ 停掉後端、保留 Wi-Fi，把 N 臨時調小（例如 3 次、跨度 0）→ 第 N 次開機切到另一個槽，恢復後端後該版本被記為失敗 ⑤ 路由器拔掉外網線重開 N 次 → 不切槽 ⑥ 一塊雲端板上用同樣流程驗證 ①（改 elatoai 那套的 voice_url）⑦ 下發不在允許網域後綴之下的網址 → 韌體拒用並在序列埠提示</t>
        </is>
      </c>
      <c r="M95" s="13" t="inlineStr">
        <is>
          <t>R-35</t>
        </is>
      </c>
      <c r="N95" s="6" t="inlineStr">
        <is>
          <t>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</t>
        </is>
      </c>
      <c r="O95" s="13" t="inlineStr">
        <is>
          <t>c0f0e29</t>
        </is>
      </c>
      <c r="P95" s="6" t="inlineStr">
        <is>
          <t>[2026-10-14] 新增
[2026-10-14] 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
[2026-10-15] 未完成：韌體部分（①② 使用 voice_url 並在 NVS 記上次成功的值、③ 候選 backend_url、④⑤ 連續 10 次開機連不上就切槽、⑦ 允許的網域後綴）未開始，要用 62:70 實機測；runbook（③ 舊網址保留多久、⑥ 證書鏈檢查）未寫。部署：.env.production 加 DEVICE_VOICE_URL、DEVICE_BACKEND_URL；舊韌體會忽略這兩個欄位，可以先上後端。分支未合併 dev、未推送
[2026-10-15] 2026-10-15（用戶決定只記備註、不另開任務）：開機時 tryConnect() 挑訊號最強的已存網絡，但不檢查能否到伺服器。若該網絡本身上不了網（熱點關了流動數據、要網頁登入的酒店 Wi-Fi、寬頻斷了），玩具每次開機都會卡在那裡，即使另一個已存網絡可用。做 ④ 時一併考慮：連上後取不到 token 就改試下一個已存網絡。62:70 連著到不了本機伺服器的 iPhone 熱點時出現過，但那是本機測試環境造成的，雲端不會。</t>
        </is>
      </c>
    </row>
    <row r="96" ht="200" customHeight="1">
      <c r="A96" s="13" t="inlineStr">
        <is>
          <t>P2-23</t>
        </is>
      </c>
      <c r="B96" s="13" t="inlineStr">
        <is>
          <t>P2</t>
        </is>
      </c>
      <c r="C96" s="13" t="inlineStr">
        <is>
          <t>3 封閉內測</t>
        </is>
      </c>
      <c r="D96" s="6" t="inlineStr">
        <is>
          <t>OTA/韌體</t>
        </is>
      </c>
      <c r="E96" s="6" t="inlineStr">
        <is>
          <t>無感 OTA：閒置入睡前在背景下載，下次喚醒時生效</t>
        </is>
      </c>
      <c r="F96" s="13" t="inlineStr">
        <is>
          <t>未開始</t>
        </is>
      </c>
      <c r="G96" s="13" t="inlineStr">
        <is>
          <t>未測試</t>
        </is>
      </c>
      <c r="I96" s="6" t="inlineStr">
        <is>
          <t>現在 OTA 在開機時進行：開機取 token 時後端說要更新，板子就下載、重開，之後才開語音。2026-10-15 在 62:70 實測（本機 HTTP、1.52 MB），從開機到新版本能對話約 15 秒，其中下載 12.8 秒；雲端經 HTTPS／Cloudflare 未量，應更長。孩子按開機後要等這麼久玩具才說話，會覺得壞了。</t>
        </is>
      </c>
      <c r="J96" s="6" t="inlineStr">
        <is>
          <t>firmware-arduino/src/OTA.cpp（otaCheckAndUpdate、installImage）、src/Audio.cpp（enterSleep、閒置睡眠 IDLE_SLEEP_SECONDS）、src/SupplyMonitor.cpp（低電判斷）；伺服器不用改（offer 仍隨 /api/generate_auth_token 回來）</t>
        </is>
      </c>
      <c r="K96" s="6" t="inlineStr">
        <is>
          <t>① 開機只記下 offer，不下載、不重開；照常開 websocket 對話 ② 閒置準備入睡時（websocket 已關，C3 只有一條 TLS），如有未裝的 offer 就下載到另一個槽並校驗 SHA-256，成功後才入睡；下次喚醒的重開即進新版本，試用期與回滾照舊 ③ 下載中按 BOOT（孩子要說話）→ Update.abort，立即回到對話，下次入睡再試；不算失敗次數 ④ 電量低（supplyLow／電池低）不下載 ⑤ 已下載但未生效時再開機，不重複下載（slot 已設為下次啟動） ⑥ 有 offer 超過 N 天（預設 3 天）都沒機會在入睡時裝，就退回開機時安裝 ⑦ 下載期間 LED 和平時入睡一致，不播提示音 ⑧ 可選：映像 gzip 壓縮下載（10-15 實測 1,592,176 → 999,108 bytes），固件邊下邊解壓</t>
        </is>
      </c>
      <c r="L96" s="6" t="inlineStr">
        <is>
          <t>62:70（-localall）：① 發佈新版本後開機 → 串口記下 offer，3 秒內連上語音並播開場白，無下載 ② 閒置至入睡 → 串口顯示下載與 SHA-256 通過後才 Sleeping；按 BOOT 喚醒 → 新版本 on 新槽、probation，120 秒後 confirmed，從按鍵到開場白的時間和沒有更新時相差 ≤ 2 秒 ③ 入睡下載中按 BOOT → 1 秒內回到對話，新槽不生效，下次入睡重下成功 ④ 強制低電 build → 入睡時跳過下載 ⑤ 已下載未生效時拔電重開 → 進新版本、不重下 ⑥ 把 N 調成 0 → 開機即安裝（舊行為）⑦ 量一次雲端 HTTPS 下載時間（等雲端可測時）</t>
        </is>
      </c>
      <c r="M96" s="13" t="inlineStr">
        <is>
          <t>P2-16</t>
        </is>
      </c>
      <c r="P96" s="6" t="inlineStr">
        <is>
          <t>[2026-10-15] 新增
[2026-10-15] 2026-10-15 用戶要求。最好趕上 11/27 交 Spotpear 的出廠映像；趕不上也能經 OTA 推出，只是那一次更新仍要開機時等。依賴 P2-16（分批推送，已完成）。</t>
        </is>
      </c>
    </row>
    <row r="97" ht="186" customHeight="1">
      <c r="A97" s="13" t="inlineStr">
        <is>
          <t>P2-24</t>
        </is>
      </c>
      <c r="B97" s="13" t="inlineStr">
        <is>
          <t>P2</t>
        </is>
      </c>
      <c r="C97" s="13" t="inlineStr">
        <is>
          <t>2 內測準備</t>
        </is>
      </c>
      <c r="D97" s="6" t="inlineStr">
        <is>
          <t>韌體-音訊</t>
        </is>
      </c>
      <c r="E97" s="6" t="inlineStr">
        <is>
          <t>麥克風上行改用 IMA ADPCM（減少 4 倍頻寬）</t>
        </is>
      </c>
      <c r="F97" s="13" t="inlineStr">
        <is>
          <t>進行中</t>
        </is>
      </c>
      <c r="G97" s="13" t="inlineStr">
        <is>
          <t>部分通過</t>
        </is>
      </c>
      <c r="I97" s="6" t="inlineStr">
        <is>
          <t>上行仍是從上游 ElatoAI 沿用的未壓縮 16kHz PCM（256 kbps）。2026-10-13 在 51:16:c0 實測：iPhone 熱點上發送最長卡 330ms、說話時 heap 13–20KB、最低 788B、約 5 輪斷 3 次；同板在 HKQF - Guest 20 輪 0 斷、最低 40.9KB。內部測試的家庭有人會用手機熱點。</t>
        </is>
      </c>
      <c r="J97" s="6" t="inlineStr">
        <is>
          <t>firmware-arduino/src/Audio.cpp（麥克風上行發送、websocketExtraHeaders）；server/fastapi/esp32_transport.py（RawPCMFrameSerializer 的輸入）、server.py（/ws/esp32 接受連線）；Python 3.11 內建 audioop，3.13+ 用 audioop-lts</t>
        </is>
      </c>
      <c r="K97" s="6" t="inlineStr">
        <is>
          <t>① 新韌體上行用 IMA ADPCM（64 kbps），每幀帶解碼狀態（預測值＋步長索引），掉幀或重連後下一幀即可正確解碼 ② 連線時以 header 聲明編碼；伺服器據此解碼成 16kHz PCM 再交給 STT；沒有聲明的舊韌體照舊當 PCM ③ 韌體編碼與伺服器解碼位元一致（同一算法）④ 編碼 CPU &lt; 2%、不增加延遲 ⑤ 語音辨識品質與 PCM 相當</t>
        </is>
      </c>
      <c r="L97" s="6" t="inlineStr">
        <is>
          <t>① C 編碼器與 Python audioop 交叉驗證：同一段 PCM，韌體算法編碼 → audioop 解碼 = audioop 自己編碼再解碼的結果 ② pytest：帶 header 的連線解碼正確、無 header 照舊 PCM、壞幀不崩潰 ③ 62:70（Guest）：粵語對話 10 輪，STT 文字與 PCM 版本相當；上行位元組數約為原來 1/4 ④ 雲端可測時：雲端板在 iPhone 熱點重跑 10/13 的量度（發送最長卡頓、說話時 heap、斷線次數），對照 PCM 版本 ⑤ 舊韌體（1.0.1）連新伺服器照常對話</t>
        </is>
      </c>
      <c r="M97" s="13" t="n"/>
      <c r="N97" s="6" t="inlineStr">
        <is>
          <t>① pytest test_mic_adpcm 10 項：Mac 上編譯 firmware MicAdpcm.cpp，與 audioop 逐 byte 一致（改壞一個表值即失敗）；分塊解碼 = 連續流解碼；掉一塊只損失該塊；人聲段 SNR &gt; 20dB；全套 275 passed ② 伺服器按 X-Mic-Codec 解碼，無 header 照舊 PCM（10:37 1.7.5 → mic=pcm，10:40 1.7.6 → mic=adpcm）③ 62:70 Guest（2026-10-15）：ADPCM 3 輪 Azure zh-HK 辨識通順完整（如『但係點解依家望到外邊係陰天嘅？』），STT 431–526ms，對照同場 PCM 560ms；上行 27,650B/3,370ms 與 16,625B/2,026ms = 8.2 B/ms（PCM 32），發送最長 3ms、最低 heap 55KB</t>
        </is>
      </c>
      <c r="O97" s="13" t="inlineStr">
        <is>
          <t>1ed9d3b</t>
        </is>
      </c>
      <c r="P97" s="6" t="inlineStr">
        <is>
          <t>[2026-10-15] 新增
[2026-10-15] 未做：④ 雲端板在 iPhone 熱點重跑 10/13 量度（等雲端可測）；⑤ 舊韌體 1.0.1 連新伺服器（邏輯上無 header 即 PCM，pytest 已覆蓋，未實機）；用戶確認辨識文字與原話一致。分支 p2-24-adpcm-uplink 未合併、未推送。</t>
        </is>
      </c>
    </row>
    <row r="98" ht="256" customHeight="1">
      <c r="A98" s="13" t="inlineStr">
        <is>
          <t>P2-25</t>
        </is>
      </c>
      <c r="B98" s="13" t="inlineStr">
        <is>
          <t>P2</t>
        </is>
      </c>
      <c r="C98" s="13" t="inlineStr">
        <is>
          <t>2 內測準備</t>
        </is>
      </c>
      <c r="D98" s="6" t="inlineStr">
        <is>
          <t>韌體-網絡</t>
        </is>
      </c>
      <c r="E98" s="6" t="inlineStr">
        <is>
          <t>C3 斷線後自救：TLS 握手超時縮短、連續失敗重設 Wi-Fi 或重開、修重試漏記憶體</t>
        </is>
      </c>
      <c r="F98" s="13" t="inlineStr">
        <is>
          <t>進行中</t>
        </is>
      </c>
      <c r="G98" s="13" t="inlineStr">
        <is>
          <t>部分通過</t>
        </is>
      </c>
      <c r="I98" s="6" t="inlineStr">
        <is>
          <t>2026-10-13 在 51:16:c0（熱點）斷線後每次重連卡約 121 秒（TLS 握手超時），持續 26 分鐘不恢復；debug 版本顯示每次失敗的重連漏約 170B heap；韌體不會重設 Wi-Fi 或重開，孩子只見玩具不回應。</t>
        </is>
      </c>
      <c r="J98" s="6" t="inlineStr">
        <is>
          <t>firmware-arduino/src/Audio.cpp（websocketSetup、networkTask 重連）、src/WifiManager.cpp；debug 分支 debug-1.0.1-iwdt 的 heap 記錄工具</t>
        </is>
      </c>
      <c r="K98" s="6" t="inlineStr">
        <is>
          <t>① websocket / HTTPS 的 TLS 握手超時約 15 秒 ② 失去連線超過 8 秒：燈青色慢閃，播一次「正在連接」（wifi_try；每次失聯一次，8 秒內連上不播）③ Wi-Fi 在線但到不了伺服器 60 秒：檢查互聯網（generate_204）。上不了網 → 先改試其他已存網絡一次，仍不行就打開配網（洋紅常亮，播「無法連接」＋「正在配網…」，最多每 10 分鐘一次）；上得了網 → 是我們伺服器掛了，不叫家長重設 Wi-Fi，燈黃色慢閃，自己重試，3 分鐘靜默重開一次（重開後不再播提示、不再重開）④ 失敗的重連不漏 heap：連續 50 次失敗前後差 &lt; 1KB ⑤ 已綁定設備的正常斷網重連行為不變，正常開機不多播提示 ⑥ 開機時附近沒有已存網絡而打開配網：播「正在配網…」（2026-10-15 用戶決定 ②③⑥）</t>
        </is>
      </c>
      <c r="L98" s="6" t="inlineStr">
        <is>
          <t>① 62:70 wss 連 Mac 上只接受不回應的端口（測試編譯開關 LOCAL_WS_TLS）：握手 ≤ 15 秒失敗；8 秒播 wifi_try、青色慢閃；60 秒判定「上得了網」→ 黃色慢閃；3 分鐘靜默重開，重開後不播提示、不再重開 ② 同上再加 INTERNET_PROBE_URL 指向不存在的地址：60 秒改試其他已存網絡，再 60 秒打開配網（洋紅），播 wifi_no_ap、wifi_setup ③ 3 秒超時版記錄 50 次失敗前後 heap ④ 停語音伺服器 40 秒再恢復 → 1 秒內重連、健康連線不誤判、正常開機不播 wifi_try ⑤ 用戶目視燈號、聽提示音 ⑥ 雲端可測時在 iPhone 熱點重跑 10/13 情境</t>
        </is>
      </c>
      <c r="M98" s="13" t="inlineStr">
        <is>
          <t>P2-24</t>
        </is>
      </c>
      <c r="N98" s="6" t="inlineStr">
        <is>
          <t>62:70（2026-10-15，hw-test-1015 1.8.1/1.8.2）：① 黑洞端口：開機音 → 8 秒 Chime: wifi_try（用戶：聽到「正在連接」、燈在閃，看似藍色）；63 秒『The internet answers and our server does not』→ 黃燈；192 秒靜默重開（boot skipped），修正後重開不再播 wifi_try ② 無互聯網版：63 秒 No internet through HKQF - Guest → 改試（熱點不在，回到 Guest）；128 秒 opening Wi-Fi setup → AP AIBuddy-6270 → Chime: wifi_no_ap、wifi_setup ③ 65 次失敗握手 heap 64,424 → 64,300 無漏 ④ 健康連線 2 分鐘無誤判；伺服器停 40 秒後 1 秒內重連；正常版開機即連上、不播 wifi_try。測試中修正四個問題：token 200 清除失聯記錄；只看事件不看狀態（健康連線被重設）；Audio.cpp 的 #include 只對降採樣板生效（S3 編譯失敗）；靜默重開後又播「正在連接」</t>
        </is>
      </c>
      <c r="O98" s="13" t="inlineStr">
        <is>
          <t>45961e4</t>
        </is>
      </c>
      <c r="P98" s="6" t="inlineStr">
        <is>
          <t>[2026-10-15] 新增
[2026-10-15] 改為按時間而非次數：websocket 函式庫連線失敗時不發事件。未做：③ 的 10/13 熱點漏記憶體情境未重現（本次測的是握手超時路徑）；雲端板在 iPhone 熱點實測斷線後 1 分鐘內恢復（等雲端可測）。分支未合併、未推送。
[2026-10-15] 未做：⑤ 用戶確認黃燈、洋紅燈和兩句配網提示；⑥ 雲端板在熱點實測；10/13 的熱點漏記憶體情境未重現。配網目前是『連接 AI Buddy 嘅熱點』，App 經藍牙配網等 R-21，屆時換提示錄音；『正在尋找網絡』錄音未有，暫用 wifi_try。分支 p2-25-reconnect-recovery 未合併、未推送。</t>
        </is>
      </c>
    </row>
    <row r="99" ht="256" customHeight="1">
      <c r="A99" s="13" t="inlineStr">
        <is>
          <t>R-42</t>
        </is>
      </c>
      <c r="B99" s="13" t="inlineStr">
        <is>
          <t>R</t>
        </is>
      </c>
      <c r="C99" s="13" t="inlineStr">
        <is>
          <t>3 封閉內測</t>
        </is>
      </c>
      <c r="D99" s="6" t="inlineStr">
        <is>
          <t>語音</t>
        </is>
      </c>
      <c r="E99" s="6" t="inlineStr">
        <is>
          <t>Tool call v1：調音量、結束對話</t>
        </is>
      </c>
      <c r="F99" s="13" t="inlineStr">
        <is>
          <t>進行中</t>
        </is>
      </c>
      <c r="G99" s="13" t="inlineStr">
        <is>
          <t>部分通過</t>
        </is>
      </c>
      <c r="I99" s="6" t="inlineStr">
        <is>
          <t>1/15 只做兩個工具（路線圖 10/13）。誤觸發會令玩具突然變細聲或者瞓覺；舊固件 1.0.1 唔認 volume 訊息、收到 RESPONSE.COMPLETE 後一秒內丟音頻。</t>
        </is>
      </c>
      <c r="J99" s="6" t="inlineStr">
        <is>
          <t>server/fastapi/voice_tools.py、bot.py（SESSION.END、RESPONSE.COMPLETE 延後）、llm_output_guard.py、memory/processors.py、evals/voice_tools</t>
        </is>
      </c>
      <c r="K99" s="6" t="inlineStr">
        <is>
          <t>① 兩個工具各用真實語音在玩具上觸發 20 次，成功率 ≥ 95% ② 不相關的話（其他嘢好大聲、故事入面講拜拜等）不會誤觸發 ③ 首字延遲增加不超過 300 毫秒 ④ 1.0.1 同新固件都即時變音量，網頁音量同步 ⑤ 道別講完先瞓覺，用戶再講嘢就取消 ⑥ 工具輪嘅記憶記錄正確</t>
        </is>
      </c>
      <c r="L99" s="6" t="inlineStr">
        <is>
          <t>evals/voice_tools 用真實模型跑 cases.yaml（兩個模型 ×3）；simulate_device 本機端到端（--wait-session-end）；真機 62:70 每個工具真實語音 20 次，聽確認句音量、睇串口 SESSION.END</t>
        </is>
      </c>
      <c r="M99" s="13" t="n"/>
      <c r="N99" s="6" t="inlineStr">
        <is>
          <t>分支 tool-call-rag（e80784b、f24b809、f90a657，worktree aibuddy-tools）：evals/voice_tools 真實模型、伺服器提示詞同工具定義，每案 ×3：調音量 gemma 60/60、DeepSeek 59/60；結束對話 gemma 30/30＋50/50、DeepSeek 30/30＋49/50（唯一失敗係 DeepSeek 空回覆）；誤觸發 0/144（電視、鄰居、媽媽話我大聲、故事入面講拜拜等）。首字延遲：gemma 無增加（p50 856 vs 871ms），DeepSeek +150ms。本機端到端（simulate_device，Sinji 粵語錄音，7895 worktree 伺服器）：『你大聲啲啦』→ volume+auth 喺 RESPONSE.CREATED 前、70→85、devices.volume=85；『拜拜，我要瞓覺喇』→ 道別後 1.5s SESSION.END；記憶記錄三輪都正確。DeepSeek 先講『等我查吓先』再查：RESPONSE.COMPLETE 延後到答案講完（一個週期 22–33s 音頻）。pytest 325 passed。未做：真機 62:70 每個工具真實語音 20 次、合併 dev、部署。</t>
        </is>
      </c>
      <c r="O99" s="13" t="inlineStr">
        <is>
          <t>f24b809</t>
        </is>
      </c>
      <c r="P99" s="6" t="inlineStr">
        <is>
          <t>[2026-10-19] 新增</t>
        </is>
      </c>
    </row>
    <row r="100" ht="158" customHeight="1">
      <c r="A100" s="13" t="inlineStr">
        <is>
          <t>R-43</t>
        </is>
      </c>
      <c r="B100" s="13" t="inlineStr">
        <is>
          <t>R</t>
        </is>
      </c>
      <c r="C100" s="13" t="inlineStr">
        <is>
          <t>4 量產出貨</t>
        </is>
      </c>
      <c r="D100" s="6" t="inlineStr">
        <is>
          <t>語音</t>
        </is>
      </c>
      <c r="E100" s="6" t="inlineStr">
        <is>
          <t>快活知識庫 RAG v1（檢索與回答）</t>
        </is>
      </c>
      <c r="F100" s="13" t="inlineStr">
        <is>
          <t>進行中</t>
        </is>
      </c>
      <c r="G100" s="13" t="inlineStr">
        <is>
          <t>部分通過</t>
        </is>
      </c>
      <c r="I100" s="6" t="inlineStr">
        <is>
          <t>快活只可以按馬會審核過嘅知識庫答（路線圖）。模型用自己知識補充或者畀貼士都係合規風險。</t>
        </is>
      </c>
      <c r="J100" s="6" t="inlineStr">
        <is>
          <t>server/fastapi/knowledge.py、voice_tools.py search_knowledge、content/knowledge/（KNOWLEDGE_BASE_FILE）、evals/voice_tools</t>
        </is>
      </c>
      <c r="K100" s="6" t="inlineStr">
        <is>
          <t>① v1 只放第一批馬會資料；設計負責人（待定）寫嘅 100 條測試問題答對率 ≥ 80% ② 知識庫冇嘅內容講唔肯定並建議查詢，唔自己作 ③ 問貼士、賠率、賽果預測 100% 婉拒 ④ 更新知識庫唔使重新燒錄玩具</t>
        </is>
      </c>
      <c r="L100" s="6" t="inlineStr">
        <is>
          <t>用馬會資料重新量 MIN_SCORE；evals/voice_tools 加入 100 條測試問題同標準答案；檢查部分命中時唔補充知識庫以外嘅內容</t>
        </is>
      </c>
      <c r="M100" s="13" t="inlineStr">
        <is>
          <t>R-42</t>
        </is>
      </c>
      <c r="N100" s="6" t="inlineStr">
        <is>
          <t>BM25 檢索搬入伺服器（knowledge.py），KNOWLEDGE_BASE_FILE 指定，工具描述、查唔到嘅回覆、額外規則（唔畀貼士）都喺資料檔。用 13 條示範資料：evals/voice_tools 命中題 gemma 答對事實 12/12、DeepSeek 11–12/12；查唔到 → 固定句或者講唔清楚，冇自己作；貼士三題兩個模型都婉拒。已知問題：部分命中（沙田馬場有冇餐廳）DeepSeek 3 次有 2 次用自己知識補充（『係有餐廳㗎』），gemma 冇。未做：馬會資料、設計負責人（待定）100 條測試問題、MIN_SCORE 重新量、入庫審批流程。</t>
        </is>
      </c>
      <c r="O100" s="13" t="inlineStr">
        <is>
          <t>e80784b</t>
        </is>
      </c>
      <c r="P100" s="6" t="inlineStr">
        <is>
          <t>[2026-10-19] 新增
[2026-10-20] 2026-10-20 用戶同意先用 Excel 收資料：docs/knowledge/快活知識庫_範本.xlsx + scripts/knowledge_excel.py（check／import，測試問題只測檢索）。示範資料 + 96 條口語測試：62/88（70%），換講法 6/28。後台頁面另立 R-44。</t>
        </is>
      </c>
    </row>
    <row r="101" ht="116" customHeight="1">
      <c r="A101" s="13" t="inlineStr">
        <is>
          <t>R-44</t>
        </is>
      </c>
      <c r="B101" s="13" t="inlineStr">
        <is>
          <t>R</t>
        </is>
      </c>
      <c r="C101" s="13" t="inlineStr">
        <is>
          <t>3 封閉內測</t>
        </is>
      </c>
      <c r="D101" s="6" t="inlineStr">
        <is>
          <t>後台</t>
        </is>
      </c>
      <c r="E101" s="6" t="inlineStr">
        <is>
          <t>知識庫後台頁面與審批流程</t>
        </is>
      </c>
      <c r="F101" s="13" t="inlineStr">
        <is>
          <t>未開始</t>
        </is>
      </c>
      <c r="G101" s="13" t="inlineStr">
        <is>
          <t>未測試</t>
        </is>
      </c>
      <c r="I101" s="6" t="inlineStr">
        <is>
          <t>Excel 階段（scripts/knowledge_excel.py）只適合少量人手更新；要有版本、送審、批准、發佈同回滾記錄，馬會先肯簽，更新知識庫亦唔使重開伺服器或者燒錄玩具。</t>
        </is>
      </c>
      <c r="J101" s="6" t="inlineStr">
        <is>
          <t>frontend-nextjs Admin（內容管理員角色、P1-10 審計）、快活嗰套 Supabase 新表（kb_versions、kb_entries、kb_aliases）、server/fastapi/knowledge.py 改為讀已發佈版本</t>
        </is>
      </c>
      <c r="K101" s="6" t="inlineStr">
        <is>
          <t>① 內容管理員可以列出、搜尋、編輯條目，亦可以直接匯入 Excel 範本 ② 「試問一句」即時顯示命中邊條、分數、模型會收到咩 ③ 版本：草稿 → 送審 → 批准 → 發佈，每步記錄邊個、幾時；兩個版本可以比較差異，可以回滾 ④ 發佈後語音伺服器喺下一個對話開始用新版本，唔使重開 ⑤ 每個版本可以匯出 Excel／PDF 俾馬會簽批，批准人同日期記入後台 ⑥ 知識庫資料只存喺快活自己嗰套 Supabase</t>
        </is>
      </c>
      <c r="L101" s="6" t="inlineStr">
        <is>
          <t>本機：匯入範本 → 送審 → 批准 → 發佈，網頁 playground 問一條新加嘅問題答得到；回滾後答返舊版本；非內容管理員讀寫 → 42501；審計記錄每一步</t>
        </is>
      </c>
      <c r="M101" s="13" t="inlineStr">
        <is>
          <t>P1-10</t>
        </is>
      </c>
      <c r="P101" s="6" t="inlineStr">
        <is>
          <t>[2026-10-20] 新增</t>
        </is>
      </c>
    </row>
  </sheetData>
  <autoFilter ref="A1:P101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38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標準，App 殼負責人（待定）可用官方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  <row r="228" ht="32" customHeight="1">
      <c r="A228" s="13" t="inlineStr">
        <is>
          <t>2026-10-14 10:25</t>
        </is>
      </c>
      <c r="B228" s="13" t="inlineStr">
        <is>
          <t>P2-12</t>
        </is>
      </c>
      <c r="C228" s="6" t="inlineStr">
        <is>
          <t>量產燒錄前加大 app 分區</t>
        </is>
      </c>
      <c r="D228" s="13" t="inlineStr">
        <is>
          <t>未開始</t>
        </is>
      </c>
      <c r="E228" s="13" t="inlineStr">
        <is>
          <t>進行中</t>
        </is>
      </c>
      <c r="F228" s="13" t="n"/>
      <c r="G228" s="6" t="n"/>
      <c r="H228" s="13" t="n"/>
      <c r="I228" s="6" t="n"/>
    </row>
    <row r="229" ht="200" customHeight="1">
      <c r="A229" s="13" t="inlineStr">
        <is>
          <t>2026-10-14 10:25</t>
        </is>
      </c>
      <c r="B229" s="13" t="inlineStr">
        <is>
          <t>P2-12</t>
        </is>
      </c>
      <c r="C229" s="6" t="inlineStr">
        <is>
          <t>量產燒錄前加大 app 分區</t>
        </is>
      </c>
      <c r="D229" s="13" t="inlineStr">
        <is>
          <t>進行中</t>
        </is>
      </c>
      <c r="E229" s="13" t="inlineStr">
        <is>
          <t>進行中</t>
        </is>
      </c>
      <c r="F229" s="13" t="inlineStr">
        <is>
          <t>部分通過</t>
        </is>
      </c>
      <c r="G229" s="6" t="inlineStr">
        <is>
          <t>62:70（分支 p2-12-partitions，env spotpear-ai-toy-p212，partition_16m.csv：app0/app1 各 4MB、assets 2MB、nvs_keys、coredump、media 5.8MB；nvs/otadata 位置不變，USB 換表後 Wi-Fi 與設備密鑰保留）：① 本機 OTA 1.6.1→1.6.2 寫入新 app1，Voice server reached 後 120s『Firmware 1.6.2 confirmed』② 推 3 秒 abort 的 1.6.3 → PANIC → 回到 1.6.2，devices.ota_failed_version=1.6.3 ③ 崩潰寫入 coredump 分區 14.8KB ④ 資源分區 9 個聲音 504KB（25%），開機 CRC 63ms，OTA 後照常；損壞/清空 → 退回內建聲音無崩潰 ⑤ 映像 1,591,168 bytes &lt; 4MB；release_firmware.py 加映像 &gt; app 槽即拒發。未做：雲端 OTA、pio 全 env 編譯、R-21 藍牙版在新表上的大小、正式 env 改用新表、寫入出廠腳本（R-10）</t>
        </is>
      </c>
      <c r="H229" s="13" t="inlineStr">
        <is>
          <t>99204e9</t>
        </is>
      </c>
      <c r="I229" s="6" t="n"/>
    </row>
    <row r="230" ht="102" customHeight="1">
      <c r="A230" s="13" t="inlineStr">
        <is>
          <t>2026-10-14 10:25</t>
        </is>
      </c>
      <c r="B230" s="13" t="inlineStr">
        <is>
          <t>P2-12</t>
        </is>
      </c>
      <c r="C230" s="6" t="inlineStr">
        <is>
          <t>量產燒錄前加大 app 分區</t>
        </is>
      </c>
      <c r="D230" s="13" t="inlineStr">
        <is>
          <t>進行中</t>
        </is>
      </c>
      <c r="E230" s="13" t="inlineStr">
        <is>
          <t>進行中</t>
        </is>
      </c>
      <c r="F230" s="13" t="n"/>
      <c r="G230" s="6" t="n"/>
      <c r="H230" s="13" t="n"/>
      <c r="I230" s="6" t="inlineStr">
        <is>
          <t>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</t>
        </is>
      </c>
    </row>
    <row r="231" ht="144" customHeight="1">
      <c r="A231" s="13" t="inlineStr">
        <is>
          <t>2026-10-14 10:28</t>
        </is>
      </c>
      <c r="B231" s="13" t="inlineStr">
        <is>
          <t>P2-12</t>
        </is>
      </c>
      <c r="C231" s="6" t="inlineStr">
        <is>
          <t>量產燒錄前加大 app 分區</t>
        </is>
      </c>
      <c r="D231" s="13" t="inlineStr">
        <is>
          <t>進行中</t>
        </is>
      </c>
      <c r="E231" s="13" t="inlineStr">
        <is>
          <t>進行中</t>
        </is>
      </c>
      <c r="F231" s="13" t="n"/>
      <c r="G231" s="6" t="n"/>
      <c r="H231" s="13" t="n"/>
      <c r="I231" s="6" t="inlineStr">
        <is>
          <t>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232" ht="74" customHeight="1">
      <c r="A232" s="13" t="inlineStr">
        <is>
          <t>2026-10-14 10:29</t>
        </is>
      </c>
      <c r="B232" s="13" t="inlineStr">
        <is>
          <t>R-10</t>
        </is>
      </c>
      <c r="C232" s="6" t="inlineStr">
        <is>
          <t>出廠流程</t>
        </is>
      </c>
      <c r="D232" s="13" t="inlineStr">
        <is>
          <t>未開始</t>
        </is>
      </c>
      <c r="E232" s="13" t="inlineStr">
        <is>
          <t>未開始</t>
        </is>
      </c>
      <c r="F232" s="13" t="n"/>
      <c r="G232" s="6" t="n"/>
      <c r="H232" s="13" t="n"/>
      <c r="I232" s="6" t="inlineStr">
        <is>
          <t>2026-10-14：P2-12 定案後，工位多一步：按品牌寫入資源包（tools/build_assets.py --brand ... → esptool write_flash 0x810000），開機 log『Assets: brand ...crc ok』作自檢一項。</t>
        </is>
      </c>
    </row>
    <row r="233" ht="32" customHeight="1">
      <c r="A233" s="13" t="inlineStr">
        <is>
          <t>2026-10-14 10:33</t>
        </is>
      </c>
      <c r="B233" s="13" t="inlineStr">
        <is>
          <t>P2-13</t>
        </is>
      </c>
      <c r="C233" s="6" t="inlineStr">
        <is>
          <t>Admin 後台改成分組側欄（新頁面先用示例數據預覽）</t>
        </is>
      </c>
      <c r="E233" s="13" t="inlineStr">
        <is>
          <t>未開始</t>
        </is>
      </c>
      <c r="I233" s="6" t="inlineStr">
        <is>
          <t>新增任務</t>
        </is>
      </c>
    </row>
    <row r="234" ht="32" customHeight="1">
      <c r="A234" s="13" t="inlineStr">
        <is>
          <t>2026-10-14 10:33</t>
        </is>
      </c>
      <c r="B234" s="13" t="inlineStr">
        <is>
          <t>P1-13</t>
        </is>
      </c>
      <c r="C234" s="6" t="inlineStr">
        <is>
          <t>PLACEHOLDER</t>
        </is>
      </c>
      <c r="E234" s="13" t="inlineStr">
        <is>
          <t>未開始</t>
        </is>
      </c>
      <c r="I234" s="6" t="inlineStr">
        <is>
          <t>新增任務</t>
        </is>
      </c>
    </row>
    <row r="235" ht="46" customHeight="1">
      <c r="A235" s="13" t="inlineStr">
        <is>
          <t>2026-10-14 10:34</t>
        </is>
      </c>
      <c r="B235" s="13" t="inlineStr">
        <is>
          <t>P1-13</t>
        </is>
      </c>
      <c r="C235" s="6" t="inlineStr">
        <is>
          <t>PLACEHOLDER</t>
        </is>
      </c>
      <c r="D235" s="13" t="inlineStr">
        <is>
          <t>未開始</t>
        </is>
      </c>
      <c r="E235" s="13" t="inlineStr">
        <is>
          <t>不適用</t>
        </is>
      </c>
      <c r="F235" s="13" t="n"/>
      <c r="G235" s="6" t="n"/>
      <c r="H235" s="13" t="n"/>
      <c r="I235" s="6" t="inlineStr">
        <is>
          <t>2026-10-14 新增任務時指令打錯而誤建的空白行，沒有內容，不代表任何工作。</t>
        </is>
      </c>
    </row>
    <row r="236" ht="32" customHeight="1">
      <c r="A236" s="13" t="inlineStr">
        <is>
          <t>2026-10-14 10:34</t>
        </is>
      </c>
      <c r="B236" s="13" t="inlineStr">
        <is>
          <t>P2-14</t>
        </is>
      </c>
      <c r="C236" s="6" t="inlineStr">
        <is>
          <t>Admin 設備頁：每台玩具的狀態、韌體與基本操作</t>
        </is>
      </c>
      <c r="E236" s="13" t="inlineStr">
        <is>
          <t>未開始</t>
        </is>
      </c>
      <c r="I236" s="6" t="inlineStr">
        <is>
          <t>新增任務</t>
        </is>
      </c>
    </row>
    <row r="237" ht="32" customHeight="1">
      <c r="A237" s="13" t="inlineStr">
        <is>
          <t>2026-10-14 10:34</t>
        </is>
      </c>
      <c r="B237" s="13" t="inlineStr">
        <is>
          <t>P2-15</t>
        </is>
      </c>
      <c r="C237" s="6" t="inlineStr">
        <is>
          <t>Admin 總覽頁：在線、用量、成本與待處理事項</t>
        </is>
      </c>
      <c r="E237" s="13" t="inlineStr">
        <is>
          <t>未開始</t>
        </is>
      </c>
      <c r="I237" s="6" t="inlineStr">
        <is>
          <t>新增任務</t>
        </is>
      </c>
    </row>
    <row r="238" ht="32" customHeight="1">
      <c r="A238" s="13" t="inlineStr">
        <is>
          <t>2026-10-14 10:35</t>
        </is>
      </c>
      <c r="B238" s="13" t="inlineStr">
        <is>
          <t>P2-15</t>
        </is>
      </c>
      <c r="C238" s="6" t="inlineStr">
        <is>
          <t>Admin 總覽頁：在線、用量、成本與待處理事項</t>
        </is>
      </c>
      <c r="D238" s="13" t="inlineStr">
        <is>
          <t>未開始</t>
        </is>
      </c>
      <c r="E238" s="13" t="inlineStr">
        <is>
          <t>未開始</t>
        </is>
      </c>
      <c r="F238" s="13" t="n"/>
      <c r="G238" s="6" t="n"/>
      <c r="H238" s="13" t="n"/>
      <c r="I238" s="6" t="inlineStr">
        <is>
          <t>修改了依賴→P2-14, P2-09</t>
        </is>
      </c>
    </row>
    <row r="239" ht="32" customHeight="1">
      <c r="A239" s="13" t="inlineStr">
        <is>
          <t>2026-10-14 10:35</t>
        </is>
      </c>
      <c r="B239" s="13" t="inlineStr">
        <is>
          <t>P2-16</t>
        </is>
      </c>
      <c r="C239" s="6" t="inlineStr">
        <is>
          <t>OTA 分批推送與後台發佈頁</t>
        </is>
      </c>
      <c r="E239" s="13" t="inlineStr">
        <is>
          <t>未開始</t>
        </is>
      </c>
      <c r="I239" s="6" t="inlineStr">
        <is>
          <t>新增任務</t>
        </is>
      </c>
    </row>
    <row r="240" ht="32" customHeight="1">
      <c r="A240" s="13" t="inlineStr">
        <is>
          <t>2026-10-14 10:35</t>
        </is>
      </c>
      <c r="B240" s="13" t="inlineStr">
        <is>
          <t>R-39</t>
        </is>
      </c>
      <c r="C240" s="6" t="inlineStr">
        <is>
          <t>Admin 出廠登記頁：匯入 MAC 清單、指定公仔、查看自檢結果</t>
        </is>
      </c>
      <c r="E240" s="13" t="inlineStr">
        <is>
          <t>未開始</t>
        </is>
      </c>
      <c r="I240" s="6" t="inlineStr">
        <is>
          <t>新增任務</t>
        </is>
      </c>
    </row>
    <row r="241" ht="32" customHeight="1">
      <c r="A241" s="13" t="inlineStr">
        <is>
          <t>2026-10-14 10:35</t>
        </is>
      </c>
      <c r="B241" s="13" t="inlineStr">
        <is>
          <t>R-40</t>
        </is>
      </c>
      <c r="C241" s="6" t="inlineStr">
        <is>
          <t>Admin 客服查詢頁：查帳號、名下設備與最近事件</t>
        </is>
      </c>
      <c r="E241" s="13" t="inlineStr">
        <is>
          <t>未開始</t>
        </is>
      </c>
      <c r="I241" s="6" t="inlineStr">
        <is>
          <t>新增任務</t>
        </is>
      </c>
    </row>
    <row r="242" ht="32" customHeight="1">
      <c r="A242" s="13" t="inlineStr">
        <is>
          <t>2026-10-14 10:35</t>
        </is>
      </c>
      <c r="B242" s="13" t="inlineStr">
        <is>
          <t>P1-14</t>
        </is>
      </c>
      <c r="C242" s="6" t="inlineStr">
        <is>
          <t>Admin 內容安全頁：審核事件只按類別統計</t>
        </is>
      </c>
      <c r="E242" s="13" t="inlineStr">
        <is>
          <t>未開始</t>
        </is>
      </c>
      <c r="I242" s="6" t="inlineStr">
        <is>
          <t>新增任務</t>
        </is>
      </c>
    </row>
    <row r="243" ht="74" customHeight="1">
      <c r="A243" s="13" t="inlineStr">
        <is>
          <t>2026-10-14 10:35</t>
        </is>
      </c>
      <c r="B243" s="13" t="inlineStr">
        <is>
          <t>R-10</t>
        </is>
      </c>
      <c r="C243" s="6" t="inlineStr">
        <is>
          <t>出廠流程</t>
        </is>
      </c>
      <c r="D243" s="13" t="inlineStr">
        <is>
          <t>未開始</t>
        </is>
      </c>
      <c r="E243" s="13" t="inlineStr">
        <is>
          <t>未開始</t>
        </is>
      </c>
      <c r="F243" s="13" t="n"/>
      <c r="G243" s="6" t="n"/>
      <c r="H243" s="13" t="n"/>
      <c r="I243" s="6" t="inlineStr">
        <is>
          <t>2026-10-14：後台的 MAC 清單匯入、整批指定公仔、QC 結果查看拆成 R-39，與工位腳本一起試產。；修改了依賴→P0-06, P0-14, R-01, P2-12, Q10, R-34, R-35, R-38, R-39</t>
        </is>
      </c>
    </row>
    <row r="244" ht="60" customHeight="1">
      <c r="A244" s="13" t="inlineStr">
        <is>
          <t>2026-10-14 10:35</t>
        </is>
      </c>
      <c r="B244" s="13" t="inlineStr">
        <is>
          <t>R-11</t>
        </is>
      </c>
      <c r="C244" s="6" t="inlineStr">
        <is>
          <t>售後：客服、保修與換機</t>
        </is>
      </c>
      <c r="D244" s="13" t="inlineStr">
        <is>
          <t>未開始</t>
        </is>
      </c>
      <c r="E244" s="13" t="inlineStr">
        <is>
          <t>未開始</t>
        </is>
      </c>
      <c r="F244" s="13" t="n"/>
      <c r="G244" s="6" t="n"/>
      <c r="H244" s="13" t="n"/>
      <c r="I244" s="6" t="inlineStr">
        <is>
          <t>2026-10-14：admin 端的診斷靠設備頁（P2-14），報修、換機、刪帳號的工具在客服查詢頁（R-40）。；修改了依賴→P2-14, R-40</t>
        </is>
      </c>
    </row>
    <row r="245" ht="102" customHeight="1">
      <c r="A245" s="13" t="inlineStr">
        <is>
          <t>2026-10-14 10:35</t>
        </is>
      </c>
      <c r="B245" s="13" t="inlineStr">
        <is>
          <t>P1-10</t>
        </is>
      </c>
      <c r="C245" s="6" t="inlineStr">
        <is>
          <t>管理操作審計記錄</t>
        </is>
      </c>
      <c r="D245" s="13" t="inlineStr">
        <is>
          <t>未開始</t>
        </is>
      </c>
      <c r="E245" s="13" t="inlineStr">
        <is>
          <t>未開始</t>
        </is>
      </c>
      <c r="F245" s="13" t="n"/>
      <c r="G245" s="6" t="n"/>
      <c r="H245" s="13" t="n"/>
      <c r="I245" s="6" t="inlineStr">
        <is>
          <t>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246" ht="130" customHeight="1">
      <c r="A246" s="13" t="inlineStr">
        <is>
          <t>2026-10-14 10:35</t>
        </is>
      </c>
      <c r="B246" s="13" t="inlineStr">
        <is>
          <t>P2-09</t>
        </is>
      </c>
      <c r="C246" s="6" t="inlineStr">
        <is>
          <t>每台設備成本監控</t>
        </is>
      </c>
      <c r="D246" s="13" t="inlineStr">
        <is>
          <t>未開始</t>
        </is>
      </c>
      <c r="E246" s="13" t="inlineStr">
        <is>
          <t>未開始</t>
        </is>
      </c>
      <c r="F246" s="13" t="n"/>
      <c r="G246" s="6" t="n"/>
      <c r="H246" s="13" t="n"/>
      <c r="I246" s="6" t="inlineStr">
        <is>
          <t>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247" ht="46" customHeight="1">
      <c r="A247" s="13" t="inlineStr">
        <is>
          <t>2026-10-14 10:35</t>
        </is>
      </c>
      <c r="B247" s="13" t="inlineStr">
        <is>
          <t>P2-06</t>
        </is>
      </c>
      <c r="C247" s="6" t="inlineStr">
        <is>
          <t>錯誤追蹤與告警</t>
        </is>
      </c>
      <c r="D247" s="13" t="inlineStr">
        <is>
          <t>未開始</t>
        </is>
      </c>
      <c r="E247" s="13" t="inlineStr">
        <is>
          <t>未開始</t>
        </is>
      </c>
      <c r="F247" s="13" t="n"/>
      <c r="G247" s="6" t="n"/>
      <c r="H247" s="13" t="n"/>
      <c r="I247" s="6" t="inlineStr">
        <is>
          <t>2026-10-14：admin 的「系統健康」頁只放摘要和外部監控連結，錯誤追蹤與告警用外部服務，不在後台自己做。</t>
        </is>
      </c>
    </row>
    <row r="248" ht="32" customHeight="1">
      <c r="A248" s="13" t="inlineStr">
        <is>
          <t>2026-10-14 10:35</t>
        </is>
      </c>
      <c r="B248" s="13" t="inlineStr">
        <is>
          <t>P1-01</t>
        </is>
      </c>
      <c r="C248" s="6" t="inlineStr">
        <is>
          <t>加入內容審核層（輸入與輸出）</t>
        </is>
      </c>
      <c r="D248" s="13" t="inlineStr">
        <is>
          <t>未開始</t>
        </is>
      </c>
      <c r="E248" s="13" t="inlineStr">
        <is>
          <t>未開始</t>
        </is>
      </c>
      <c r="F248" s="13" t="n"/>
      <c r="G248" s="6" t="n"/>
      <c r="H248" s="13" t="n"/>
      <c r="I248" s="6" t="inlineStr">
        <is>
          <t>2026-10-14：審核事件的後台頁拆成 P1-14，等本項完成後做。</t>
        </is>
      </c>
    </row>
    <row r="249" ht="32" customHeight="1">
      <c r="A249" s="13" t="inlineStr">
        <is>
          <t>2026-10-14 10:35</t>
        </is>
      </c>
      <c r="B249" s="13" t="inlineStr">
        <is>
          <t>P2-13</t>
        </is>
      </c>
      <c r="C249" s="6" t="inlineStr">
        <is>
          <t>Admin 後台改成分組側欄（新頁面先用示例數據預覽）</t>
        </is>
      </c>
      <c r="D249" s="13" t="inlineStr">
        <is>
          <t>未開始</t>
        </is>
      </c>
      <c r="E249" s="13" t="inlineStr">
        <is>
          <t>進行中</t>
        </is>
      </c>
      <c r="F249" s="13" t="n"/>
      <c r="G249" s="6" t="n"/>
      <c r="H249" s="13" t="n"/>
      <c r="I249" s="6" t="n"/>
    </row>
    <row r="250" ht="74" customHeight="1">
      <c r="A250" s="13" t="inlineStr">
        <is>
          <t>2026-10-14 10:35</t>
        </is>
      </c>
      <c r="B250" s="13" t="inlineStr">
        <is>
          <t>P2-13</t>
        </is>
      </c>
      <c r="C250" s="6" t="inlineStr">
        <is>
          <t>Admin 後台改成分組側欄（新頁面先用示例數據預覽）</t>
        </is>
      </c>
      <c r="D250" s="13" t="inlineStr">
        <is>
          <t>進行中</t>
        </is>
      </c>
      <c r="E250" s="13" t="inlineStr">
        <is>
          <t>進行中</t>
        </is>
      </c>
      <c r="F250" s="13" t="inlineStr">
        <is>
          <t>部分通過</t>
        </is>
      </c>
      <c r="G250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H250" s="13" t="inlineStr">
        <is>
          <t>77fc4f7</t>
        </is>
      </c>
      <c r="I250" s="6" t="n"/>
    </row>
    <row r="251" ht="32" customHeight="1">
      <c r="A251" s="13" t="inlineStr">
        <is>
          <t>2026-10-14 10:42</t>
        </is>
      </c>
      <c r="B251" s="13" t="inlineStr">
        <is>
          <t>P1-10</t>
        </is>
      </c>
      <c r="C251" s="6" t="inlineStr">
        <is>
          <t>管理操作審計記錄</t>
        </is>
      </c>
      <c r="D251" s="13" t="inlineStr">
        <is>
          <t>未開始</t>
        </is>
      </c>
      <c r="E251" s="13" t="inlineStr">
        <is>
          <t>進行中</t>
        </is>
      </c>
      <c r="F251" s="13" t="n"/>
      <c r="G251" s="6" t="n"/>
      <c r="H251" s="13" t="n"/>
      <c r="I251" s="6" t="n"/>
    </row>
    <row r="252" ht="32" customHeight="1">
      <c r="A252" s="13" t="inlineStr">
        <is>
          <t>2026-10-14 10:42</t>
        </is>
      </c>
      <c r="B252" s="13" t="inlineStr">
        <is>
          <t>P2-09</t>
        </is>
      </c>
      <c r="C252" s="6" t="inlineStr">
        <is>
          <t>每台設備成本監控</t>
        </is>
      </c>
      <c r="D252" s="13" t="inlineStr">
        <is>
          <t>未開始</t>
        </is>
      </c>
      <c r="E252" s="13" t="inlineStr">
        <is>
          <t>進行中</t>
        </is>
      </c>
      <c r="F252" s="13" t="n"/>
      <c r="G252" s="6" t="n"/>
      <c r="H252" s="13" t="n"/>
      <c r="I252" s="6" t="n"/>
    </row>
    <row r="253" ht="172" customHeight="1">
      <c r="A253" s="13" t="inlineStr">
        <is>
          <t>2026-10-14 11:03</t>
        </is>
      </c>
      <c r="B253" s="13" t="inlineStr">
        <is>
          <t>P2-12</t>
        </is>
      </c>
      <c r="C253" s="6" t="inlineStr">
        <is>
          <t>量產燒錄前加大 app 分區</t>
        </is>
      </c>
      <c r="D253" s="13" t="inlineStr">
        <is>
          <t>進行中</t>
        </is>
      </c>
      <c r="E253" s="13" t="inlineStr">
        <is>
          <t>進行中</t>
        </is>
      </c>
      <c r="F253" s="13" t="inlineStr">
        <is>
          <t>部分通過</t>
        </is>
      </c>
      <c r="G253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H253" s="13" t="inlineStr">
        <is>
          <t>5e9ffce</t>
        </is>
      </c>
      <c r="I253" s="6" t="n"/>
    </row>
    <row r="254" ht="172" customHeight="1">
      <c r="A254" s="13" t="inlineStr">
        <is>
          <t>2026-10-14 11:06</t>
        </is>
      </c>
      <c r="B254" s="13" t="inlineStr">
        <is>
          <t>P1-10</t>
        </is>
      </c>
      <c r="C254" s="6" t="inlineStr">
        <is>
          <t>管理操作審計記錄</t>
        </is>
      </c>
      <c r="D254" s="13" t="inlineStr">
        <is>
          <t>進行中</t>
        </is>
      </c>
      <c r="E254" s="13" t="inlineStr">
        <is>
          <t>進行中</t>
        </is>
      </c>
      <c r="F254" s="13" t="inlineStr">
        <is>
          <t>部分通過</t>
        </is>
      </c>
      <c r="G254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H254" s="13" t="inlineStr">
        <is>
          <t>e438bab</t>
        </is>
      </c>
      <c r="I254" s="6" t="n"/>
    </row>
    <row r="255" ht="158" customHeight="1">
      <c r="A255" s="13" t="inlineStr">
        <is>
          <t>2026-10-14 11:06</t>
        </is>
      </c>
      <c r="B255" s="13" t="inlineStr">
        <is>
          <t>P2-09</t>
        </is>
      </c>
      <c r="C255" s="6" t="inlineStr">
        <is>
          <t>每台設備成本監控</t>
        </is>
      </c>
      <c r="D255" s="13" t="inlineStr">
        <is>
          <t>進行中</t>
        </is>
      </c>
      <c r="E255" s="13" t="inlineStr">
        <is>
          <t>進行中</t>
        </is>
      </c>
      <c r="F255" s="13" t="inlineStr">
        <is>
          <t>部分通過</t>
        </is>
      </c>
      <c r="G255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H255" s="13" t="inlineStr">
        <is>
          <t>e438bab</t>
        </is>
      </c>
      <c r="I255" s="6" t="n"/>
    </row>
    <row r="256" ht="102" customHeight="1">
      <c r="A256" s="13" t="inlineStr">
        <is>
          <t>2026-10-14 11:10</t>
        </is>
      </c>
      <c r="B256" s="13" t="inlineStr">
        <is>
          <t>P1-10</t>
        </is>
      </c>
      <c r="C256" s="6" t="inlineStr">
        <is>
          <t>管理操作審計記錄</t>
        </is>
      </c>
      <c r="D256" s="13" t="inlineStr">
        <is>
          <t>進行中</t>
        </is>
      </c>
      <c r="E256" s="13" t="inlineStr">
        <is>
          <t>進行中</t>
        </is>
      </c>
      <c r="F256" s="13" t="n"/>
      <c r="G256" s="6" t="n"/>
      <c r="H256" s="13" t="inlineStr">
        <is>
          <t>8e3b2c5</t>
        </is>
      </c>
      <c r="I256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7" ht="102" customHeight="1">
      <c r="A257" s="13" t="inlineStr">
        <is>
          <t>2026-10-14 11:10</t>
        </is>
      </c>
      <c r="B257" s="13" t="inlineStr">
        <is>
          <t>P2-09</t>
        </is>
      </c>
      <c r="C257" s="6" t="inlineStr">
        <is>
          <t>每台設備成本監控</t>
        </is>
      </c>
      <c r="D257" s="13" t="inlineStr">
        <is>
          <t>進行中</t>
        </is>
      </c>
      <c r="E257" s="13" t="inlineStr">
        <is>
          <t>進行中</t>
        </is>
      </c>
      <c r="F257" s="13" t="n"/>
      <c r="G257" s="6" t="n"/>
      <c r="H257" s="13" t="inlineStr">
        <is>
          <t>8e3b2c5</t>
        </is>
      </c>
      <c r="I257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8" ht="116" customHeight="1">
      <c r="A258" s="13" t="inlineStr">
        <is>
          <t>2026-10-14 11:20</t>
        </is>
      </c>
      <c r="B258" s="13" t="inlineStr">
        <is>
          <t>R-13</t>
        </is>
      </c>
      <c r="C258" s="6" t="inlineStr">
        <is>
          <t>CP1 內測就緒檢查（10/30）</t>
        </is>
      </c>
      <c r="D258" s="13" t="inlineStr">
        <is>
          <t>未開始</t>
        </is>
      </c>
      <c r="E258" s="13" t="inlineStr">
        <is>
          <t>未開始</t>
        </is>
      </c>
      <c r="F258" s="13" t="n"/>
      <c r="G258" s="6" t="n"/>
      <c r="H258" s="13" t="n"/>
      <c r="I258" s="6" t="inlineStr">
        <is>
          <t>2026-10-14 用戶決定：移除 P1-09（家長鎖）。品牌 C 已延到 1/15 之後，P1-09 阻塞，留在依賴裡 CP1 永遠過不了。；修改了依賴→P0-02, P0-03, P0-04, P0-05, P0-06, P0-07, P0-08, P0-09, P0-10, P0-11, P0-12, P0-13, P1-01, P1-02, P2-09, R-01, R-02, R-04, R-05, R-06, P0-15, P0-16, P1-11</t>
        </is>
      </c>
    </row>
    <row r="259" ht="32" customHeight="1">
      <c r="A259" s="13" t="inlineStr">
        <is>
          <t>2026-10-14 11:20</t>
        </is>
      </c>
      <c r="B259" s="13" t="inlineStr">
        <is>
          <t>P1-02</t>
        </is>
      </c>
      <c r="C259" s="6" t="inlineStr">
        <is>
          <t>日誌移除兒童個人資料</t>
        </is>
      </c>
      <c r="D259" s="13" t="inlineStr">
        <is>
          <t>未開始</t>
        </is>
      </c>
      <c r="E259" s="13" t="inlineStr">
        <is>
          <t>進行中</t>
        </is>
      </c>
      <c r="F259" s="13" t="n"/>
      <c r="G259" s="6" t="n"/>
      <c r="H259" s="13" t="n"/>
      <c r="I259" s="6" t="n"/>
    </row>
    <row r="260" ht="130" customHeight="1">
      <c r="A260" s="13" t="inlineStr">
        <is>
          <t>2026-10-14 11:28</t>
        </is>
      </c>
      <c r="B260" s="13" t="inlineStr">
        <is>
          <t>P1-02</t>
        </is>
      </c>
      <c r="C260" s="6" t="inlineStr">
        <is>
          <t>日誌移除兒童個人資料</t>
        </is>
      </c>
      <c r="D260" s="13" t="inlineStr">
        <is>
          <t>進行中</t>
        </is>
      </c>
      <c r="E260" s="13" t="inlineStr">
        <is>
          <t>進行中</t>
        </is>
      </c>
      <c r="F260" s="13" t="inlineStr">
        <is>
          <t>部分通過</t>
        </is>
      </c>
      <c r="G260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H260" s="13" t="inlineStr">
        <is>
          <t>4214b99</t>
        </is>
      </c>
      <c r="I260" s="6" t="n"/>
    </row>
    <row r="261" ht="32" customHeight="1">
      <c r="A261" s="13" t="inlineStr">
        <is>
          <t>2026-10-14 11:38</t>
        </is>
      </c>
      <c r="B261" s="13" t="inlineStr">
        <is>
          <t>P1-01</t>
        </is>
      </c>
      <c r="C261" s="6" t="inlineStr">
        <is>
          <t>加入內容審核層（輸入與輸出）</t>
        </is>
      </c>
      <c r="D261" s="13" t="inlineStr">
        <is>
          <t>未開始</t>
        </is>
      </c>
      <c r="E261" s="13" t="inlineStr">
        <is>
          <t>進行中</t>
        </is>
      </c>
      <c r="F261" s="13" t="n"/>
      <c r="G261" s="6" t="n"/>
      <c r="H261" s="13" t="n"/>
      <c r="I261" s="6" t="n"/>
    </row>
    <row r="262" ht="88" customHeight="1">
      <c r="A262" s="13" t="inlineStr">
        <is>
          <t>2026-10-14 11:47</t>
        </is>
      </c>
      <c r="B262" s="13" t="inlineStr">
        <is>
          <t>P1-01</t>
        </is>
      </c>
      <c r="C262" s="6" t="inlineStr">
        <is>
          <t>加入內容審核層（輸入與輸出）</t>
        </is>
      </c>
      <c r="D262" s="13" t="inlineStr">
        <is>
          <t>進行中</t>
        </is>
      </c>
      <c r="E262" s="13" t="inlineStr">
        <is>
          <t>阻塞</t>
        </is>
      </c>
      <c r="F262" s="13" t="n"/>
      <c r="G262" s="6" t="n"/>
      <c r="H262" s="13" t="n"/>
      <c r="I262" s="6" t="inlineStr">
        <is>
          <t>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263" ht="32" customHeight="1">
      <c r="A263" s="13" t="inlineStr">
        <is>
          <t>2026-10-14 11:50</t>
        </is>
      </c>
      <c r="B263" s="13" t="inlineStr">
        <is>
          <t>P2-14</t>
        </is>
      </c>
      <c r="C263" s="6" t="inlineStr">
        <is>
          <t>Admin 設備頁：每台玩具的狀態、韌體與基本操作</t>
        </is>
      </c>
      <c r="D263" s="13" t="inlineStr">
        <is>
          <t>未開始</t>
        </is>
      </c>
      <c r="E263" s="13" t="inlineStr">
        <is>
          <t>進行中</t>
        </is>
      </c>
      <c r="F263" s="13" t="n"/>
      <c r="G263" s="6" t="n"/>
      <c r="H263" s="13" t="n"/>
      <c r="I263" s="6" t="n"/>
    </row>
    <row r="264" ht="186" customHeight="1">
      <c r="A264" s="13" t="inlineStr">
        <is>
          <t>2026-10-14 12:03</t>
        </is>
      </c>
      <c r="B264" s="13" t="inlineStr">
        <is>
          <t>P2-14</t>
        </is>
      </c>
      <c r="C264" s="6" t="inlineStr">
        <is>
          <t>Admin 設備頁：每台玩具的狀態、韌體與基本操作</t>
        </is>
      </c>
      <c r="D264" s="13" t="inlineStr">
        <is>
          <t>進行中</t>
        </is>
      </c>
      <c r="E264" s="13" t="inlineStr">
        <is>
          <t>進行中</t>
        </is>
      </c>
      <c r="F264" s="13" t="inlineStr">
        <is>
          <t>部分通過</t>
        </is>
      </c>
      <c r="G264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H264" s="13" t="n"/>
      <c r="I264" s="6" t="inlineStr">
        <is>
          <t>devices.ip_key 未有（R-38），IP 欄暫顯示「未鎖定」。部署要三件一起：migration、語音伺服器（/internal/devices_presence）、網頁。在線只代表有語音連線，睡眠和關機都算離線。</t>
        </is>
      </c>
    </row>
    <row r="265" ht="32" customHeight="1">
      <c r="A265" s="13" t="inlineStr">
        <is>
          <t>2026-10-14 12:10</t>
        </is>
      </c>
      <c r="B265" s="13" t="inlineStr">
        <is>
          <t>R-41</t>
        </is>
      </c>
      <c r="C265" s="6" t="inlineStr">
        <is>
          <t>App 顯示玩具電量狀態（低電量提示）</t>
        </is>
      </c>
      <c r="E265" s="13" t="inlineStr">
        <is>
          <t>未開始</t>
        </is>
      </c>
      <c r="I265" s="6" t="inlineStr">
        <is>
          <t>新增任務</t>
        </is>
      </c>
    </row>
    <row r="266" ht="32" customHeight="1">
      <c r="A266" s="13" t="inlineStr">
        <is>
          <t>2026-10-14 12:10</t>
        </is>
      </c>
      <c r="B266" s="13" t="inlineStr">
        <is>
          <t>R-41</t>
        </is>
      </c>
      <c r="C266" s="6" t="inlineStr">
        <is>
          <t>App 顯示玩具電量狀態（低電量提示）</t>
        </is>
      </c>
      <c r="D266" s="13" t="inlineStr">
        <is>
          <t>未開始</t>
        </is>
      </c>
      <c r="E266" s="13" t="inlineStr">
        <is>
          <t>進行中</t>
        </is>
      </c>
      <c r="F266" s="13" t="n"/>
      <c r="G266" s="6" t="n"/>
      <c r="H266" s="13" t="n"/>
      <c r="I266" s="6" t="n"/>
    </row>
    <row r="267" ht="144" customHeight="1">
      <c r="A267" s="13" t="inlineStr">
        <is>
          <t>2026-10-14 12:10</t>
        </is>
      </c>
      <c r="B267" s="13" t="inlineStr">
        <is>
          <t>R-16</t>
        </is>
      </c>
      <c r="C267" s="6" t="inlineStr">
        <is>
          <t>Spotpear 量產版加電池電壓檢測（GPIO0 分壓）</t>
        </is>
      </c>
      <c r="D267" s="13" t="inlineStr">
        <is>
          <t>阻塞</t>
        </is>
      </c>
      <c r="E267" s="13" t="inlineStr">
        <is>
          <t>未開始</t>
        </is>
      </c>
      <c r="F267" s="13" t="n"/>
      <c r="G267" s="6" t="n"/>
      <c r="H267" s="13" t="n"/>
      <c r="I267" s="6" t="inlineStr">
        <is>
          <t>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提出。；修改了驗收標準</t>
        </is>
      </c>
    </row>
    <row r="268" ht="116" customHeight="1">
      <c r="A268" s="13" t="inlineStr">
        <is>
          <t>2026-10-14 15:24</t>
        </is>
      </c>
      <c r="B268" s="13" t="inlineStr">
        <is>
          <t>R-41</t>
        </is>
      </c>
      <c r="C268" s="6" t="inlineStr">
        <is>
          <t>App 顯示玩具電量狀態（低電量提示）</t>
        </is>
      </c>
      <c r="D268" s="13" t="inlineStr">
        <is>
          <t>進行中</t>
        </is>
      </c>
      <c r="E268" s="13" t="inlineStr">
        <is>
          <t>進行中</t>
        </is>
      </c>
      <c r="F268" s="13" t="inlineStr">
        <is>
          <t>部分通過</t>
        </is>
      </c>
      <c r="G268" s="6" t="inlineStr">
        <is>
          <t>① pytest test_device_power+test_device_wifi 33 passed；device_power.write() 真 PATCH 本地 Supabase → 62:70 行 battery_low=t ④ App（手機尺寸）低電：列表紅色 Low battery、設定頁 Low · Please charge + 更新時間；72% 充電中顯示 Charging · 72%；全空不顯示 Battery 行 ⑤ 他人帳號讀 0 行、authenticated UPDATE 被拒。固件 spotpear/xmini-c3/S3 編譯通過。未做：②③ 62:70 真機（強制低電 build）</t>
        </is>
      </c>
      <c r="H268" s="13" t="inlineStr">
        <is>
          <t>db30823</t>
        </is>
      </c>
      <c r="I268" s="6" t="n"/>
    </row>
    <row r="269" ht="116" customHeight="1">
      <c r="A269" s="13" t="inlineStr">
        <is>
          <t>2026-10-14 15:40</t>
        </is>
      </c>
      <c r="B269" s="13" t="inlineStr">
        <is>
          <t>R-41</t>
        </is>
      </c>
      <c r="C269" s="6" t="inlineStr">
        <is>
          <t>App 顯示玩具電量狀態（低電量提示）</t>
        </is>
      </c>
      <c r="D269" s="13" t="inlineStr">
        <is>
          <t>進行中</t>
        </is>
      </c>
      <c r="E269" s="13" t="inlineStr">
        <is>
          <t>已完成</t>
        </is>
      </c>
      <c r="F269" s="13" t="inlineStr">
        <is>
          <t>通過</t>
        </is>
      </c>
      <c r="G26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H269" s="13" t="inlineStr">
        <is>
          <t>db30823</t>
        </is>
      </c>
      <c r="I269" s="6" t="n"/>
    </row>
    <row r="270" ht="74" customHeight="1">
      <c r="A270" s="13" t="inlineStr">
        <is>
          <t>2026-10-14 15:50</t>
        </is>
      </c>
      <c r="B270" s="13" t="inlineStr">
        <is>
          <t>R-41</t>
        </is>
      </c>
      <c r="C270" s="6" t="inlineStr">
        <is>
          <t>App 顯示玩具電量狀態（低電量提示）</t>
        </is>
      </c>
      <c r="D270" s="13" t="inlineStr">
        <is>
          <t>已完成</t>
        </is>
      </c>
      <c r="E270" s="13" t="inlineStr">
        <is>
          <t>已完成</t>
        </is>
      </c>
      <c r="F270" s="13" t="n"/>
      <c r="G270" s="6" t="n"/>
      <c r="H270" s="13" t="inlineStr">
        <is>
          <t>42b4437</t>
        </is>
      </c>
      <c r="I270" s="6" t="inlineStr">
        <is>
          <t>2026-10-14：rebase 後合併入 dev（42b4437）。migration 改名 20261014153000_device_battery.sql，避開同時間戳的 admin_accounts；powerSent 重置改到收到 auth 時。未部署。</t>
        </is>
      </c>
    </row>
    <row r="271" ht="32" customHeight="1">
      <c r="A271" s="13" t="inlineStr">
        <is>
          <t>2026-10-14 20:27</t>
        </is>
      </c>
      <c r="B271" s="13" t="inlineStr">
        <is>
          <t>P2-17</t>
        </is>
      </c>
      <c r="C271" s="6" t="inlineStr">
        <is>
          <t>P2-16 ① 分批推送的數據表：推送階段、白名單、每台安裝結果</t>
        </is>
      </c>
      <c r="E271" s="13" t="inlineStr">
        <is>
          <t>未開始</t>
        </is>
      </c>
      <c r="I271" s="6" t="inlineStr">
        <is>
          <t>新增任務</t>
        </is>
      </c>
    </row>
    <row r="272" ht="32" customHeight="1">
      <c r="A272" s="13" t="inlineStr">
        <is>
          <t>2026-10-14 20:27</t>
        </is>
      </c>
      <c r="B272" s="13" t="inlineStr">
        <is>
          <t>P2-18</t>
        </is>
      </c>
      <c r="C272" s="6" t="inlineStr">
        <is>
          <t>P2-16 ② 按 MAC 雜湊穩定分組決定哪台收到 ota</t>
        </is>
      </c>
      <c r="E272" s="13" t="inlineStr">
        <is>
          <t>未開始</t>
        </is>
      </c>
      <c r="I272" s="6" t="inlineStr">
        <is>
          <t>新增任務</t>
        </is>
      </c>
    </row>
    <row r="273" ht="32" customHeight="1">
      <c r="A273" s="13" t="inlineStr">
        <is>
          <t>2026-10-14 20:27</t>
        </is>
      </c>
      <c r="B273" s="13" t="inlineStr">
        <is>
          <t>P2-19</t>
        </is>
      </c>
      <c r="C273" s="6" t="inlineStr">
        <is>
          <t>P2-16 ③ 回滾過多時自動暫停推送</t>
        </is>
      </c>
      <c r="E273" s="13" t="inlineStr">
        <is>
          <t>未開始</t>
        </is>
      </c>
      <c r="I273" s="6" t="inlineStr">
        <is>
          <t>新增任務</t>
        </is>
      </c>
    </row>
    <row r="274" ht="32" customHeight="1">
      <c r="A274" s="13" t="inlineStr">
        <is>
          <t>2026-10-14 20:27</t>
        </is>
      </c>
      <c r="B274" s="13" t="inlineStr">
        <is>
          <t>P2-20</t>
        </is>
      </c>
      <c r="C274" s="6" t="inlineStr">
        <is>
          <t>P2-16 ④ 從後台上傳與發佈韌體（取代手貼 service key）</t>
        </is>
      </c>
      <c r="E274" s="13" t="inlineStr">
        <is>
          <t>未開始</t>
        </is>
      </c>
      <c r="I274" s="6" t="inlineStr">
        <is>
          <t>新增任務</t>
        </is>
      </c>
    </row>
    <row r="275" ht="32" customHeight="1">
      <c r="A275" s="13" t="inlineStr">
        <is>
          <t>2026-10-14 20:27</t>
        </is>
      </c>
      <c r="B275" s="13" t="inlineStr">
        <is>
          <t>P2-21</t>
        </is>
      </c>
      <c r="C275" s="6" t="inlineStr">
        <is>
          <t>P2-16 ⑤ 後台 OTA 頁換成真實數據與操作</t>
        </is>
      </c>
      <c r="E275" s="13" t="inlineStr">
        <is>
          <t>未開始</t>
        </is>
      </c>
      <c r="I275" s="6" t="inlineStr">
        <is>
          <t>新增任務</t>
        </is>
      </c>
    </row>
    <row r="276" ht="102" customHeight="1">
      <c r="A276" s="13" t="inlineStr">
        <is>
          <t>2026-10-14 20:27</t>
        </is>
      </c>
      <c r="B276" s="13" t="inlineStr">
        <is>
          <t>P2-16</t>
        </is>
      </c>
      <c r="C276" s="6" t="inlineStr">
        <is>
          <t>OTA 分批推送與後台發佈頁</t>
        </is>
      </c>
      <c r="D276" s="13" t="inlineStr">
        <is>
          <t>未開始</t>
        </is>
      </c>
      <c r="E276" s="13" t="inlineStr">
        <is>
          <t>未開始</t>
        </is>
      </c>
      <c r="F276" s="13" t="n"/>
      <c r="G276" s="6" t="n"/>
      <c r="H276" s="13" t="n"/>
      <c r="I276" s="6" t="inlineStr">
        <is>
          <t>2026-10-14 開分支 p2-16-ota-rollout（worktree ../aibuddy-p216，從 dev cac98aa）；拆成 P2-17～P2-21 五項子任務，本項的測試方法即整體驗收（含 62:70 實機白名單）。；修改了依賴→P0-13, P2-14, P1-10, P2-17, P2-18, P2-19, P2-20, P2-21</t>
        </is>
      </c>
    </row>
    <row r="277" ht="32" customHeight="1">
      <c r="A277" s="13" t="inlineStr">
        <is>
          <t>2026-10-14 20:27</t>
        </is>
      </c>
      <c r="B277" s="13" t="inlineStr">
        <is>
          <t>P2-16</t>
        </is>
      </c>
      <c r="C277" s="6" t="inlineStr">
        <is>
          <t>OTA 分批推送與後台發佈頁</t>
        </is>
      </c>
      <c r="D277" s="13" t="inlineStr">
        <is>
          <t>未開始</t>
        </is>
      </c>
      <c r="E277" s="13" t="inlineStr">
        <is>
          <t>進行中</t>
        </is>
      </c>
      <c r="F277" s="13" t="n"/>
      <c r="G277" s="6" t="n"/>
      <c r="H277" s="13" t="n"/>
      <c r="I277" s="6" t="n"/>
    </row>
    <row r="278" ht="32" customHeight="1">
      <c r="A278" s="13" t="inlineStr">
        <is>
          <t>2026-10-14 20:41</t>
        </is>
      </c>
      <c r="B278" s="13" t="inlineStr">
        <is>
          <t>P2-16</t>
        </is>
      </c>
      <c r="C278" s="6" t="inlineStr">
        <is>
          <t>OTA 分批推送與後台發佈頁</t>
        </is>
      </c>
      <c r="D278" s="13" t="inlineStr">
        <is>
          <t>進行中</t>
        </is>
      </c>
      <c r="E278" s="13" t="inlineStr">
        <is>
          <t>進行中</t>
        </is>
      </c>
      <c r="F278" s="13" t="n"/>
      <c r="G278" s="6" t="n"/>
      <c r="H278" s="13" t="n"/>
      <c r="I278" s="6" t="inlineStr">
        <is>
          <t>2026-10-14 用戶決定提前到第 2 階段，現在開始做；修改了階段→2 內測準備</t>
        </is>
      </c>
    </row>
    <row r="279" ht="32" customHeight="1">
      <c r="A279" s="13" t="inlineStr">
        <is>
          <t>2026-10-14 20:41</t>
        </is>
      </c>
      <c r="B279" s="13" t="inlineStr">
        <is>
          <t>P2-17</t>
        </is>
      </c>
      <c r="C279" s="6" t="inlineStr">
        <is>
          <t>P2-16 ① 分批推送的數據表：推送階段、白名單、每台安裝結果</t>
        </is>
      </c>
      <c r="D279" s="13" t="inlineStr">
        <is>
          <t>未開始</t>
        </is>
      </c>
      <c r="E279" s="13" t="inlineStr">
        <is>
          <t>未開始</t>
        </is>
      </c>
      <c r="F279" s="13" t="n"/>
      <c r="G279" s="6" t="n"/>
      <c r="H279" s="13" t="n"/>
      <c r="I279" s="6" t="inlineStr">
        <is>
          <t>2026-10-14 用戶決定提前到第 2 階段，現在開始做；修改了階段→2 內測準備</t>
        </is>
      </c>
    </row>
    <row r="280" ht="32" customHeight="1">
      <c r="A280" s="13" t="inlineStr">
        <is>
          <t>2026-10-14 20:41</t>
        </is>
      </c>
      <c r="B280" s="13" t="inlineStr">
        <is>
          <t>P2-18</t>
        </is>
      </c>
      <c r="C280" s="6" t="inlineStr">
        <is>
          <t>P2-16 ② 按 MAC 雜湊穩定分組決定哪台收到 ota</t>
        </is>
      </c>
      <c r="D280" s="13" t="inlineStr">
        <is>
          <t>未開始</t>
        </is>
      </c>
      <c r="E280" s="13" t="inlineStr">
        <is>
          <t>未開始</t>
        </is>
      </c>
      <c r="F280" s="13" t="n"/>
      <c r="G280" s="6" t="n"/>
      <c r="H280" s="13" t="n"/>
      <c r="I280" s="6" t="inlineStr">
        <is>
          <t>2026-10-14 用戶決定提前到第 2 階段，現在開始做；修改了階段→2 內測準備</t>
        </is>
      </c>
    </row>
    <row r="281" ht="32" customHeight="1">
      <c r="A281" s="13" t="inlineStr">
        <is>
          <t>2026-10-14 20:41</t>
        </is>
      </c>
      <c r="B281" s="13" t="inlineStr">
        <is>
          <t>P2-19</t>
        </is>
      </c>
      <c r="C281" s="6" t="inlineStr">
        <is>
          <t>P2-16 ③ 回滾過多時自動暫停推送</t>
        </is>
      </c>
      <c r="D281" s="13" t="inlineStr">
        <is>
          <t>未開始</t>
        </is>
      </c>
      <c r="E281" s="13" t="inlineStr">
        <is>
          <t>未開始</t>
        </is>
      </c>
      <c r="F281" s="13" t="n"/>
      <c r="G281" s="6" t="n"/>
      <c r="H281" s="13" t="n"/>
      <c r="I281" s="6" t="inlineStr">
        <is>
          <t>2026-10-14 用戶決定提前到第 2 階段，現在開始做；修改了階段→2 內測準備</t>
        </is>
      </c>
    </row>
    <row r="282" ht="32" customHeight="1">
      <c r="A282" s="13" t="inlineStr">
        <is>
          <t>2026-10-14 20:41</t>
        </is>
      </c>
      <c r="B282" s="13" t="inlineStr">
        <is>
          <t>P2-20</t>
        </is>
      </c>
      <c r="C282" s="6" t="inlineStr">
        <is>
          <t>P2-16 ④ 從後台上傳與發佈韌體（取代手貼 service key）</t>
        </is>
      </c>
      <c r="D282" s="13" t="inlineStr">
        <is>
          <t>未開始</t>
        </is>
      </c>
      <c r="E282" s="13" t="inlineStr">
        <is>
          <t>未開始</t>
        </is>
      </c>
      <c r="F282" s="13" t="n"/>
      <c r="G282" s="6" t="n"/>
      <c r="H282" s="13" t="n"/>
      <c r="I282" s="6" t="inlineStr">
        <is>
          <t>2026-10-14 用戶決定提前到第 2 階段，現在開始做；修改了階段→2 內測準備</t>
        </is>
      </c>
    </row>
    <row r="283" ht="32" customHeight="1">
      <c r="A283" s="13" t="inlineStr">
        <is>
          <t>2026-10-14 20:41</t>
        </is>
      </c>
      <c r="B283" s="13" t="inlineStr">
        <is>
          <t>P2-21</t>
        </is>
      </c>
      <c r="C283" s="6" t="inlineStr">
        <is>
          <t>P2-16 ⑤ 後台 OTA 頁換成真實數據與操作</t>
        </is>
      </c>
      <c r="D283" s="13" t="inlineStr">
        <is>
          <t>未開始</t>
        </is>
      </c>
      <c r="E283" s="13" t="inlineStr">
        <is>
          <t>未開始</t>
        </is>
      </c>
      <c r="F283" s="13" t="n"/>
      <c r="G283" s="6" t="n"/>
      <c r="H283" s="13" t="n"/>
      <c r="I283" s="6" t="inlineStr">
        <is>
          <t>2026-10-14 用戶決定提前到第 2 階段，現在開始做；修改了階段→2 內測準備</t>
        </is>
      </c>
    </row>
    <row r="284" ht="32" customHeight="1">
      <c r="A284" s="13" t="inlineStr">
        <is>
          <t>2026-10-14 20:41</t>
        </is>
      </c>
      <c r="B284" s="13" t="inlineStr">
        <is>
          <t>P2-17</t>
        </is>
      </c>
      <c r="C284" s="6" t="inlineStr">
        <is>
          <t>P2-16 ① 分批推送的數據表：推送階段、白名單、每台安裝結果</t>
        </is>
      </c>
      <c r="D284" s="13" t="inlineStr">
        <is>
          <t>未開始</t>
        </is>
      </c>
      <c r="E284" s="13" t="inlineStr">
        <is>
          <t>進行中</t>
        </is>
      </c>
      <c r="F284" s="13" t="n"/>
      <c r="G284" s="6" t="n"/>
      <c r="H284" s="13" t="n"/>
      <c r="I284" s="6" t="n"/>
    </row>
    <row r="285" ht="60" customHeight="1">
      <c r="A285" s="13" t="inlineStr">
        <is>
          <t>2026-10-14 20:45</t>
        </is>
      </c>
      <c r="B285" s="13" t="inlineStr">
        <is>
          <t>P2-17</t>
        </is>
      </c>
      <c r="C285" s="6" t="inlineStr">
        <is>
          <t>P2-16 ① 分批推送的數據表：推送階段、白名單、每台安裝結果</t>
        </is>
      </c>
      <c r="D285" s="13" t="inlineStr">
        <is>
          <t>進行中</t>
        </is>
      </c>
      <c r="E285" s="13" t="inlineStr">
        <is>
          <t>進行中</t>
        </is>
      </c>
      <c r="F285" s="13" t="n"/>
      <c r="G285" s="6" t="n"/>
      <c r="H285" s="13" t="n"/>
      <c r="I285" s="6" t="inlineStr">
        <is>
          <t>測試方法修正：內容管理員讀取在 RLS 下是 200 + 0 行而非 42501，保護效果相同（看不到任何行），寫入一律 42501；修改了測試方法</t>
        </is>
      </c>
    </row>
    <row r="286" ht="158" customHeight="1">
      <c r="A286" s="13" t="inlineStr">
        <is>
          <t>2026-10-14 20:45</t>
        </is>
      </c>
      <c r="B286" s="13" t="inlineStr">
        <is>
          <t>P2-17</t>
        </is>
      </c>
      <c r="C286" s="6" t="inlineStr">
        <is>
          <t>P2-16 ① 分批推送的數據表：推送階段、白名單、每台安裝結果</t>
        </is>
      </c>
      <c r="D286" s="13" t="inlineStr">
        <is>
          <t>進行中</t>
        </is>
      </c>
      <c r="E286" s="13" t="inlineStr">
        <is>
          <t>已完成</t>
        </is>
      </c>
      <c r="F286" s="13" t="inlineStr">
        <is>
          <t>通過</t>
        </is>
      </c>
      <c r="G286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H286" s="13" t="inlineStr">
        <is>
          <t>9f44e32</t>
        </is>
      </c>
      <c r="I286" s="6" t="n"/>
    </row>
    <row r="287" ht="46" customHeight="1">
      <c r="A287" s="13" t="inlineStr">
        <is>
          <t>2026-10-14 20:45</t>
        </is>
      </c>
      <c r="B287" s="13" t="inlineStr">
        <is>
          <t>P2-17</t>
        </is>
      </c>
      <c r="C287" s="6" t="inlineStr">
        <is>
          <t>P2-16 ① 分批推送的數據表：推送階段、白名單、每台安裝結果</t>
        </is>
      </c>
      <c r="D287" s="13" t="inlineStr">
        <is>
          <t>已完成</t>
        </is>
      </c>
      <c r="E287" s="13" t="inlineStr">
        <is>
          <t>已完成</t>
        </is>
      </c>
      <c r="F287" s="13" t="n"/>
      <c r="G287" s="6" t="n"/>
      <c r="H287" s="13" t="inlineStr">
        <is>
          <t>8675970</t>
        </is>
      </c>
      <c r="I287" s="6" t="inlineStr">
        <is>
          <t>commit 在分支 p2-16-ota-rollout（rebase 後 9f44e32 → 8675970），未合併到 dev、未部署</t>
        </is>
      </c>
    </row>
    <row r="288" ht="32" customHeight="1">
      <c r="A288" s="13" t="inlineStr">
        <is>
          <t>2026-10-14 20:46</t>
        </is>
      </c>
      <c r="B288" s="13" t="inlineStr">
        <is>
          <t>P2-18</t>
        </is>
      </c>
      <c r="C288" s="6" t="inlineStr">
        <is>
          <t>P2-16 ② 按 MAC 雜湊穩定分組決定哪台收到 ota</t>
        </is>
      </c>
      <c r="D288" s="13" t="inlineStr">
        <is>
          <t>未開始</t>
        </is>
      </c>
      <c r="E288" s="13" t="inlineStr">
        <is>
          <t>進行中</t>
        </is>
      </c>
      <c r="F288" s="13" t="n"/>
      <c r="G288" s="6" t="n"/>
      <c r="H288" s="13" t="n"/>
      <c r="I288" s="6" t="n"/>
    </row>
    <row r="289" ht="60" customHeight="1">
      <c r="A289" s="13" t="inlineStr">
        <is>
          <t>2026-10-14 20:50</t>
        </is>
      </c>
      <c r="B289" s="13" t="inlineStr">
        <is>
          <t>P2-17</t>
        </is>
      </c>
      <c r="C289" s="6" t="inlineStr">
        <is>
          <t>P2-16 ① 分批推送的數據表：推送階段、白名單、每台安裝結果</t>
        </is>
      </c>
      <c r="D289" s="13" t="inlineStr">
        <is>
          <t>已完成</t>
        </is>
      </c>
      <c r="E289" s="13" t="inlineStr">
        <is>
          <t>已完成</t>
        </is>
      </c>
      <c r="F289" s="13" t="n"/>
      <c r="G289" s="6" t="n"/>
      <c r="H289" s="13" t="inlineStr">
        <is>
          <t>c510e02</t>
        </is>
      </c>
      <c r="I289" s="6" t="inlineStr">
        <is>
          <t>commit 再次 rebase 後為 c510e02（分支 p2-16-ota-rollout）。之後分支不再為追蹤表 commit rebase，hash 到合併時才會變</t>
        </is>
      </c>
    </row>
    <row r="290" ht="186" customHeight="1">
      <c r="A290" s="13" t="inlineStr">
        <is>
          <t>2026-10-14 20:50</t>
        </is>
      </c>
      <c r="B290" s="13" t="inlineStr">
        <is>
          <t>P2-18</t>
        </is>
      </c>
      <c r="C290" s="6" t="inlineStr">
        <is>
          <t>P2-16 ② 按 MAC 雜湊穩定分組決定哪台收到 ota</t>
        </is>
      </c>
      <c r="D290" s="13" t="inlineStr">
        <is>
          <t>進行中</t>
        </is>
      </c>
      <c r="E290" s="13" t="inlineStr">
        <is>
          <t>已完成</t>
        </is>
      </c>
      <c r="F290" s="13" t="inlineStr">
        <is>
          <t>通過</t>
        </is>
      </c>
      <c r="G290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H290" s="13" t="inlineStr">
        <is>
          <t>e57529d</t>
        </is>
      </c>
      <c r="I290" s="6" t="n"/>
    </row>
    <row r="291" ht="32" customHeight="1">
      <c r="A291" s="13" t="inlineStr">
        <is>
          <t>2026-10-14 20:51</t>
        </is>
      </c>
      <c r="B291" s="13" t="inlineStr">
        <is>
          <t>P2-19</t>
        </is>
      </c>
      <c r="C291" s="6" t="inlineStr">
        <is>
          <t>P2-16 ③ 回滾過多時自動暫停推送</t>
        </is>
      </c>
      <c r="D291" s="13" t="inlineStr">
        <is>
          <t>未開始</t>
        </is>
      </c>
      <c r="E291" s="13" t="inlineStr">
        <is>
          <t>進行中</t>
        </is>
      </c>
      <c r="F291" s="13" t="n"/>
      <c r="G291" s="6" t="n"/>
      <c r="H291" s="13" t="n"/>
      <c r="I291" s="6" t="n"/>
    </row>
    <row r="292" ht="158" customHeight="1">
      <c r="A292" s="13" t="inlineStr">
        <is>
          <t>2026-10-14 20:58</t>
        </is>
      </c>
      <c r="B292" s="13" t="inlineStr">
        <is>
          <t>P2-19</t>
        </is>
      </c>
      <c r="C292" s="6" t="inlineStr">
        <is>
          <t>P2-16 ③ 回滾過多時自動暫停推送</t>
        </is>
      </c>
      <c r="D292" s="13" t="inlineStr">
        <is>
          <t>進行中</t>
        </is>
      </c>
      <c r="E292" s="13" t="inlineStr">
        <is>
          <t>進行中</t>
        </is>
      </c>
      <c r="F292" s="13" t="n"/>
      <c r="G292" s="6" t="n"/>
      <c r="H292" s="13" t="n"/>
      <c r="I292" s="6" t="inlineStr">
        <is>
          <t>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次（OTA_MAX_TRIES）都回報成回滾，由回滾率規則處理。；修改了驗收標準、測試方法</t>
        </is>
      </c>
    </row>
    <row r="293" ht="144" customHeight="1">
      <c r="A293" s="13" t="inlineStr">
        <is>
          <t>2026-10-14 20:58</t>
        </is>
      </c>
      <c r="B293" s="13" t="inlineStr">
        <is>
          <t>P2-19</t>
        </is>
      </c>
      <c r="C293" s="6" t="inlineStr">
        <is>
          <t>P2-16 ③ 回滾過多時自動暫停推送</t>
        </is>
      </c>
      <c r="D293" s="13" t="inlineStr">
        <is>
          <t>進行中</t>
        </is>
      </c>
      <c r="E293" s="13" t="inlineStr">
        <is>
          <t>已完成</t>
        </is>
      </c>
      <c r="F293" s="13" t="inlineStr">
        <is>
          <t>通過</t>
        </is>
      </c>
      <c r="G293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H293" s="13" t="inlineStr">
        <is>
          <t>9500d50</t>
        </is>
      </c>
      <c r="I293" s="6" t="n"/>
    </row>
    <row r="294" ht="46" customHeight="1">
      <c r="A294" s="13" t="inlineStr">
        <is>
          <t>2026-10-14 20:58</t>
        </is>
      </c>
      <c r="B294" s="13" t="inlineStr">
        <is>
          <t>P2-16</t>
        </is>
      </c>
      <c r="C294" s="6" t="inlineStr">
        <is>
          <t>OTA 分批推送與後台發佈頁</t>
        </is>
      </c>
      <c r="D294" s="13" t="inlineStr">
        <is>
          <t>進行中</t>
        </is>
      </c>
      <c r="E294" s="13" t="inlineStr">
        <is>
          <t>進行中</t>
        </is>
      </c>
      <c r="F294" s="13" t="n"/>
      <c r="G294" s="6" t="n"/>
      <c r="H294" s="13" t="n"/>
      <c r="I294" s="6" t="inlineStr">
        <is>
          <t>2026-10-14 用戶決定拿走「同一台重啟 3 次即暫停」，原因見 P2-19；修改了驗收標準、測試方法</t>
        </is>
      </c>
    </row>
    <row r="295" ht="32" customHeight="1">
      <c r="A295" s="13" t="inlineStr">
        <is>
          <t>2026-10-14 21:00</t>
        </is>
      </c>
      <c r="B295" s="13" t="inlineStr">
        <is>
          <t>P2-20</t>
        </is>
      </c>
      <c r="C295" s="6" t="inlineStr">
        <is>
          <t>P2-16 ④ 從後台上傳與發佈韌體（取代手貼 service key）</t>
        </is>
      </c>
      <c r="D295" s="13" t="inlineStr">
        <is>
          <t>未開始</t>
        </is>
      </c>
      <c r="E295" s="13" t="inlineStr">
        <is>
          <t>進行中</t>
        </is>
      </c>
      <c r="F295" s="13" t="n"/>
      <c r="G295" s="6" t="n"/>
      <c r="H295" s="13" t="n"/>
      <c r="I295" s="6" t="n"/>
    </row>
    <row r="296" ht="200" customHeight="1">
      <c r="A296" s="13" t="inlineStr">
        <is>
          <t>2026-10-14 21:10</t>
        </is>
      </c>
      <c r="B296" s="13" t="inlineStr">
        <is>
          <t>P2-20</t>
        </is>
      </c>
      <c r="C296" s="6" t="inlineStr">
        <is>
          <t>P2-16 ④ 從後台上傳與發佈韌體（取代手貼 service key）</t>
        </is>
      </c>
      <c r="D296" s="13" t="inlineStr">
        <is>
          <t>進行中</t>
        </is>
      </c>
      <c r="E296" s="13" t="inlineStr">
        <is>
          <t>已完成</t>
        </is>
      </c>
      <c r="F296" s="13" t="inlineStr">
        <is>
          <t>通過</t>
        </is>
      </c>
      <c r="G296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H296" s="13" t="inlineStr">
        <is>
          <t>ebe8dc9</t>
        </is>
      </c>
      <c r="I296" s="6" t="inlineStr">
        <is>
          <t>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297" ht="32" customHeight="1">
      <c r="A297" s="13" t="inlineStr">
        <is>
          <t>2026-10-14 21:47</t>
        </is>
      </c>
      <c r="B297" s="13" t="inlineStr">
        <is>
          <t>P2-21</t>
        </is>
      </c>
      <c r="C297" s="6" t="inlineStr">
        <is>
          <t>P2-16 ⑤ 後台 OTA 頁換成真實數據與操作</t>
        </is>
      </c>
      <c r="D297" s="13" t="inlineStr">
        <is>
          <t>未開始</t>
        </is>
      </c>
      <c r="E297" s="13" t="inlineStr">
        <is>
          <t>進行中</t>
        </is>
      </c>
      <c r="F297" s="13" t="n"/>
      <c r="G297" s="6" t="n"/>
      <c r="H297" s="13" t="n"/>
      <c r="I297" s="6" t="n"/>
    </row>
    <row r="298" ht="270" customHeight="1">
      <c r="A298" s="13" t="inlineStr">
        <is>
          <t>2026-10-14 21:59</t>
        </is>
      </c>
      <c r="B298" s="13" t="inlineStr">
        <is>
          <t>P2-21</t>
        </is>
      </c>
      <c r="C298" s="6" t="inlineStr">
        <is>
          <t>P2-16 ⑤ 後台 OTA 頁換成真實數據與操作</t>
        </is>
      </c>
      <c r="D298" s="13" t="inlineStr">
        <is>
          <t>進行中</t>
        </is>
      </c>
      <c r="E298" s="13" t="inlineStr">
        <is>
          <t>進行中</t>
        </is>
      </c>
      <c r="F298" s="13" t="inlineStr">
        <is>
          <t>部分通過</t>
        </is>
      </c>
      <c r="G298" s="6" t="inlineStr">
        <is>
          <t>本機（分支 dev server 3216 + 本機 Supabase，GoTrue 真實登入的超管 cookie），用 xmini-c3 板型 + 20 台模擬設備以免碰到真開發板：頁面上傳 9.9.0 → 草稿；白名單加 1 台（UI 選單）→ 存檔；設為 current → 頁面預測 1 台、模擬 1 台；推進 10% → 預測 4、實得 4（重複不變）；50% → 預測 9、實得 9 且包含 10% 全部；100% → 20/20。2 台回滾 → 頁面顯示 'Paused … by the server: Auto-paused: 2 of 20 boards rolled back (10%)' 與回滾清單 2 台；點回滾設備 → 設備頁已帶 MAC 搜尋；恢復 → 其餘 18 台再拿到、回滾的 2 台不再下發；手動暫停未填原因不能確認、填後顯示 'by an admin'。審計頁 9 筆（上傳、白名單、current、10/50/100%、系統暫停、恢復、手動暫停），系統暫停顯示 System。375px scrollWidth=375。內容管理員側欄只有 Characters/IPs、#ota 退回 Characters、頁面無 OTA 數據，直接呼叫 admin_change_firmware_rollout → 403/42501。測試中發現並修正：舊版本（含 63:64 仍在跑的 1.6.1）被當成可刪除的草稿（6c2dc9d）。測試數據已清除</t>
        </is>
      </c>
      <c r="H298" s="13" t="inlineStr">
        <is>
          <t>e0d7ac6</t>
        </is>
      </c>
      <c r="I298" s="6" t="inlineStr">
        <is>
          <t>未完成：依賴 P2-14 的真板測試未做；測試方法中『白名單加 62:70』以模擬設備代替，實機一步歸 P2-16 ④，等板子到手一起做</t>
        </is>
      </c>
    </row>
    <row r="299" ht="144" customHeight="1">
      <c r="A299" s="13" t="inlineStr">
        <is>
          <t>2026-10-14 21:59</t>
        </is>
      </c>
      <c r="B299" s="13" t="inlineStr">
        <is>
          <t>P2-16</t>
        </is>
      </c>
      <c r="C299" s="6" t="inlineStr">
        <is>
          <t>OTA 分批推送與後台發佈頁</t>
        </is>
      </c>
      <c r="D299" s="13" t="inlineStr">
        <is>
          <t>進行中</t>
        </is>
      </c>
      <c r="E299" s="13" t="inlineStr">
        <is>
          <t>進行中</t>
        </is>
      </c>
      <c r="F299" s="13" t="inlineStr">
        <is>
          <t>部分通過</t>
        </is>
      </c>
      <c r="G299" s="6" t="inlineStr">
        <is>
          <t>子任務 P2-17～P2-20 通過、P2-21 部分通過（等 P2-14）。① 10% 階段只有雜湊預測的那組拿到、重複不變（P2-18、P2-21）② 2 台回滾 → 自動暫停、其餘不再拿到（P2-19、P2-21）③ 100% 全部拿到 ⑤ 審計表有每次階段變更（P2-21 9 筆）。未做：④ 開發板 62:70 實機走一次白名單階段（用戶目前手上沒有板子），同時驗證新韌體開機印出 BUILD_INFO</t>
        </is>
      </c>
      <c r="H299" s="13" t="n"/>
      <c r="I299" s="6" t="inlineStr">
        <is>
          <t>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</t>
        </is>
      </c>
    </row>
    <row r="300" ht="46" customHeight="1">
      <c r="A300" s="13" t="inlineStr">
        <is>
          <t>2026-10-14 22:19</t>
        </is>
      </c>
      <c r="B300" s="13" t="inlineStr">
        <is>
          <t>P2-22</t>
        </is>
      </c>
      <c r="C300" s="6" t="inlineStr">
        <is>
          <t>改服務器網址也不失聯：語音網址由後端下發、後端網址可遷移、已確認韌體長期連不上時自救</t>
        </is>
      </c>
      <c r="E300" s="13" t="inlineStr">
        <is>
          <t>未開始</t>
        </is>
      </c>
      <c r="I300" s="6" t="inlineStr">
        <is>
          <t>新增任務</t>
        </is>
      </c>
    </row>
    <row r="301" ht="102" customHeight="1">
      <c r="A301" s="13" t="inlineStr">
        <is>
          <t>2026-10-14 22:19</t>
        </is>
      </c>
      <c r="B301" s="13" t="inlineStr">
        <is>
          <t>P2-22</t>
        </is>
      </c>
      <c r="C301" s="6" t="inlineStr">
        <is>
          <t>改服務器網址也不失聯：語音網址由後端下發、後端網址可遷移、已確認韌體長期連不上時自救</t>
        </is>
      </c>
      <c r="D301" s="13" t="inlineStr">
        <is>
          <t>未開始</t>
        </is>
      </c>
      <c r="E301" s="13" t="inlineStr">
        <is>
          <t>未開始</t>
        </is>
      </c>
      <c r="F301" s="13" t="n"/>
      <c r="G301" s="6" t="n"/>
      <c r="H301" s="13" t="n"/>
      <c r="I301" s="6" t="inlineStr">
        <is>
          <t>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</t>
        </is>
      </c>
    </row>
    <row r="302" ht="46" customHeight="1">
      <c r="A302" s="13" t="inlineStr">
        <is>
          <t>2026-10-15 09:15</t>
        </is>
      </c>
      <c r="B302" s="13" t="inlineStr">
        <is>
          <t>P2-22</t>
        </is>
      </c>
      <c r="C302" s="6" t="inlineStr">
        <is>
          <t>改服務器網址也不失聯：語音網址由後端下發、後端網址可遷移、已確認韌體長期連不上時自救</t>
        </is>
      </c>
      <c r="D302" s="13" t="inlineStr">
        <is>
          <t>未開始</t>
        </is>
      </c>
      <c r="E302" s="13" t="inlineStr">
        <is>
          <t>進行中</t>
        </is>
      </c>
      <c r="F302" s="13" t="n"/>
      <c r="G302" s="6" t="n"/>
      <c r="H302" s="13" t="n"/>
      <c r="I302" s="6" t="n"/>
    </row>
    <row r="303" ht="144" customHeight="1">
      <c r="A303" s="13" t="inlineStr">
        <is>
          <t>2026-10-15 09:15</t>
        </is>
      </c>
      <c r="B303" s="13" t="inlineStr">
        <is>
          <t>P2-22</t>
        </is>
      </c>
      <c r="C303" s="6" t="inlineStr">
        <is>
          <t>改服務器網址也不失聯：語音網址由後端下發、後端網址可遷移、已確認韌體長期連不上時自救</t>
        </is>
      </c>
      <c r="D303" s="13" t="inlineStr">
        <is>
          <t>進行中</t>
        </is>
      </c>
      <c r="E303" s="13" t="inlineStr">
        <is>
          <t>進行中</t>
        </is>
      </c>
      <c r="F303" s="13" t="inlineStr">
        <is>
          <t>部分通過</t>
        </is>
      </c>
      <c r="G303" s="6" t="inlineStr">
        <is>
          <t>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</t>
        </is>
      </c>
      <c r="H303" s="13" t="inlineStr">
        <is>
          <t>c0f0e29</t>
        </is>
      </c>
      <c r="I303" s="6" t="inlineStr">
        <is>
          <t>未完成：韌體部分（①② 使用 voice_url 並在 NVS 記上次成功的值、③ 候選 backend_url、④⑤ 連續 10 次開機連不上就切槽、⑦ 允許的網域後綴）未開始，要用 62:70 實機測；runbook（③ 舊網址保留多久、⑥ 證書鏈檢查）未寫。部署：.env.production 加 DEVICE_VOICE_URL、DEVICE_BACKEND_URL；舊韌體會忽略這兩個欄位，可以先上後端。分支未合併 dev、未推送</t>
        </is>
      </c>
    </row>
    <row r="304" ht="144" customHeight="1">
      <c r="A304" s="13" t="inlineStr">
        <is>
          <t>2026-10-15 09:43</t>
        </is>
      </c>
      <c r="B304" s="13" t="inlineStr">
        <is>
          <t>P2-14</t>
        </is>
      </c>
      <c r="C304" s="6" t="inlineStr">
        <is>
          <t>Admin 設備頁：每台玩具的狀態、韌體與基本操作</t>
        </is>
      </c>
      <c r="D304" s="13" t="inlineStr">
        <is>
          <t>進行中</t>
        </is>
      </c>
      <c r="E304" s="13" t="inlineStr">
        <is>
          <t>已完成</t>
        </is>
      </c>
      <c r="F304" s="13" t="inlineStr">
        <is>
          <t>通過</t>
        </is>
      </c>
      <c r="G304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H304" s="13" t="inlineStr">
        <is>
          <t>1d31bb0</t>
        </is>
      </c>
      <c r="I304" s="6" t="inlineStr">
        <is>
          <t>頁面在分頁不可見時不輪詢（設計如此），可見時立即刷新。測完已用 SQL 把 62:70 綁回 multi-device-test@example.test。</t>
        </is>
      </c>
    </row>
    <row r="305" ht="144" customHeight="1">
      <c r="A305" s="13" t="inlineStr">
        <is>
          <t>2026-10-15 09:43</t>
        </is>
      </c>
      <c r="B305" s="13" t="inlineStr">
        <is>
          <t>P2-16</t>
        </is>
      </c>
      <c r="C305" s="6" t="inlineStr">
        <is>
          <t>OTA 分批推送與後台發佈頁</t>
        </is>
      </c>
      <c r="D305" s="13" t="inlineStr">
        <is>
          <t>進行中</t>
        </is>
      </c>
      <c r="E305" s="13" t="inlineStr">
        <is>
          <t>已完成</t>
        </is>
      </c>
      <c r="F305" s="13" t="inlineStr">
        <is>
          <t>通過</t>
        </is>
      </c>
      <c r="G305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H305" s="13" t="inlineStr">
        <is>
          <t>e0d7ac6</t>
        </is>
      </c>
      <c r="I305" s="6" t="inlineStr">
        <is>
          <t>附帶：一開始本機 current 是 1.6.2（以舊 IP/端口編譯），1.7.0 開機就被推 1.6.2，裝上後連不上，試用期內重開即回到 1.7.0（非崩潰，判定會再試），回滾路徑實機正常。之後用 SQL 暫停 1.6.2。用腳本發佈的新版本要重新載入 OTA 頁才出現。</t>
        </is>
      </c>
    </row>
    <row r="306" ht="88" customHeight="1">
      <c r="A306" s="13" t="inlineStr">
        <is>
          <t>2026-10-15 09:43</t>
        </is>
      </c>
      <c r="B306" s="13" t="inlineStr">
        <is>
          <t>P2-21</t>
        </is>
      </c>
      <c r="C306" s="6" t="inlineStr">
        <is>
          <t>P2-16 ⑤ 後台 OTA 頁換成真實數據與操作</t>
        </is>
      </c>
      <c r="D306" s="13" t="inlineStr">
        <is>
          <t>進行中</t>
        </is>
      </c>
      <c r="E306" s="13" t="inlineStr">
        <is>
          <t>已完成</t>
        </is>
      </c>
      <c r="F306" s="13" t="inlineStr">
        <is>
          <t>通過</t>
        </is>
      </c>
      <c r="G306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H306" s="13" t="inlineStr">
        <is>
          <t>e0d7ac6</t>
        </is>
      </c>
      <c r="I306" s="6" t="n"/>
    </row>
    <row r="307" ht="144" customHeight="1">
      <c r="A307" s="13" t="inlineStr">
        <is>
          <t>2026-10-15 09:48</t>
        </is>
      </c>
      <c r="B307" s="13" t="inlineStr">
        <is>
          <t>R-36</t>
        </is>
      </c>
      <c r="C307" s="6" t="inlineStr">
        <is>
          <t>未認領的設備停在配對狀態，不再每秒重連 websocket</t>
        </is>
      </c>
      <c r="D307" s="13" t="inlineStr">
        <is>
          <t>進行中</t>
        </is>
      </c>
      <c r="E307" s="13" t="inlineStr">
        <is>
          <t>進行中</t>
        </is>
      </c>
      <c r="F307" s="13" t="inlineStr">
        <is>
          <t>部分通過</t>
        </is>
      </c>
      <c r="G307" s="6" t="inlineStr">
        <is>
          <t>真機 62:70（2026-10-15，r-36 rebase 到 dev 1bd85ac，-localall 1.7.2，本機 3230/7870）：① 09:45:10 後台解綁 → 語音伺服器只在 09:45:11 拒絕 1 次，串口『device token refused, pausing』，之後只見 generate_auth_token 202 輪詢（約 70 秒 4 次）② 09:46:36 重新認領 → 09:46:53 自動連上（17 秒）並播出開場白，沒按鍵、沒重開 ④ 對照：改動前 1.7.0 解綁後每秒被拒 1 次（約 57 次/分鐘）。未做：③ 已綁定時斷網 30 秒再恢復；洋紅慢閃燈號未目視；⑤ 隨 OTA 推出</t>
        </is>
      </c>
      <c r="H307" s="13" t="inlineStr">
        <is>
          <t>1bd85ac</t>
        </is>
      </c>
      <c r="I307" s="6" t="inlineStr">
        <is>
          <t>rebase 衝突在 networkTask：R-36 的暫停條件和 R-41 的 reportPower() 都保留（reportPower 自己檢查連線）。分支未推送。</t>
        </is>
      </c>
    </row>
    <row r="308" ht="32" customHeight="1">
      <c r="A308" s="13" t="inlineStr">
        <is>
          <t>2026-10-15 09:50</t>
        </is>
      </c>
      <c r="B308" s="13" t="inlineStr">
        <is>
          <t>P2-23</t>
        </is>
      </c>
      <c r="C308" s="6" t="inlineStr">
        <is>
          <t>無感 OTA：閒置入睡前在背景下載，下次喚醒時生效</t>
        </is>
      </c>
      <c r="E308" s="13" t="inlineStr">
        <is>
          <t>未開始</t>
        </is>
      </c>
      <c r="I308" s="6" t="inlineStr">
        <is>
          <t>新增任務</t>
        </is>
      </c>
    </row>
    <row r="309" ht="74" customHeight="1">
      <c r="A309" s="13" t="inlineStr">
        <is>
          <t>2026-10-15 09:50</t>
        </is>
      </c>
      <c r="B309" s="13" t="inlineStr">
        <is>
          <t>P2-23</t>
        </is>
      </c>
      <c r="C309" s="6" t="inlineStr">
        <is>
          <t>無感 OTA：閒置入睡前在背景下載，下次喚醒時生效</t>
        </is>
      </c>
      <c r="D309" s="13" t="inlineStr">
        <is>
          <t>未開始</t>
        </is>
      </c>
      <c r="E309" s="13" t="inlineStr">
        <is>
          <t>未開始</t>
        </is>
      </c>
      <c r="F309" s="13" t="n"/>
      <c r="G309" s="6" t="n"/>
      <c r="H309" s="13" t="n"/>
      <c r="I309" s="6" t="inlineStr">
        <is>
          <t>2026-10-15 用戶要求。最好趕上 11/27 交 Spotpear 的出廠映像；趕不上也能經 OTA 推出，只是那一次更新仍要開機時等。依賴 P2-16（分批推送，已完成）。</t>
        </is>
      </c>
    </row>
    <row r="310" ht="116" customHeight="1">
      <c r="A310" s="13" t="inlineStr">
        <is>
          <t>2026-10-15 10:04</t>
        </is>
      </c>
      <c r="B310" s="13" t="inlineStr">
        <is>
          <t>R-37</t>
        </is>
      </c>
      <c r="C310" s="6" t="inlineStr">
        <is>
          <t>網頁設定玩具的 Wi-Fi：查看、新增、刪除</t>
        </is>
      </c>
      <c r="D310" s="13" t="inlineStr">
        <is>
          <t>進行中</t>
        </is>
      </c>
      <c r="E310" s="13" t="inlineStr">
        <is>
          <t>進行中</t>
        </is>
      </c>
      <c r="F310" s="13" t="n"/>
      <c r="G310" s="6" t="n"/>
      <c r="H310" s="13" t="n"/>
      <c r="I310" s="6" t="inlineStr">
        <is>
          <t>2026-10-15 用戶決定：加「改用這個 Wi-Fi」（⑦），④ 改為新增不自動切換、可由家長手動切換。起因：62:70 實測加了 iPhone 熱點也無法讓玩具改用。另：離線一律顯示「睡著了」會誤導（63:64 已 6 天未上線仍叫人按按鈕），待改為按上次上線時間分開提示。；修改了驗收標準、測試方法</t>
        </is>
      </c>
    </row>
    <row r="311" ht="200" customHeight="1">
      <c r="A311" s="13" t="inlineStr">
        <is>
          <t>2026-10-15 10:26</t>
        </is>
      </c>
      <c r="B311" s="13" t="inlineStr">
        <is>
          <t>R-37</t>
        </is>
      </c>
      <c r="C311" s="6" t="inlineStr">
        <is>
          <t>網頁設定玩具的 Wi-Fi：查看、新增、刪除</t>
        </is>
      </c>
      <c r="D311" s="13" t="inlineStr">
        <is>
          <t>進行中</t>
        </is>
      </c>
      <c r="E311" s="13" t="inlineStr">
        <is>
          <t>進行中</t>
        </is>
      </c>
      <c r="F311" s="13" t="inlineStr">
        <is>
          <t>部分通過</t>
        </is>
      </c>
      <c r="G311" s="6" t="inlineStr">
        <is>
          <t>2026-10-15 真機 62:70（hw-test-1015 = dev + P2-16 + R-36 + r-37-wifi-switch，1.7.5，本機 3230/7870）：① 熱點關掉 → 醒來重開後改連 HKQF - Guest 並上線（運行中途消失未單獨測）⑦ Use 按鈕、確認框（寫明 20 秒退回原網絡）、切換中提示都正常；熱點關著按 Use → 11 秒內頁面『couldn't find … nearby. It's back on HKQF - Guest』；熱點開著（到不了 Mac）→ 9 秒內『joined … but couldn't reach the internet … back on HKQF - Guest』，串口 failed (no_internet) → Back on；切換到目前網絡 → current、未存 SSID → unknown，板子不動。pytest 272 passed（新增 6 項），tsc 0 錯誤。未做：⑦ 成功切換（要第二個到得了 Mac 的網絡）、別人設備呼叫 switch → 403（同一個擁有者檢查，未對 switch 重測）、② 密碼打錯</t>
        </is>
      </c>
      <c r="H311" s="13" t="inlineStr">
        <is>
          <t>3c180cd</t>
        </is>
      </c>
      <c r="I311" s="6" t="inlineStr">
        <is>
          <t>測試中修了原有 bug（a4 之後第二個 commit）：驅動在沒連上的網絡斷開時不發事件，WiFi.status() 留著上次的『找不到』，新嘗試一開始就被當失敗；1.7.4 切換失敗後連不回 Guest 並掉進 SoftAP，tryConnect() 也同樣。joinFor() 改為 6 秒後才相信失敗，tryConnect() 共用。雲端韌體同樣有這 bug。另：開機時 tryConnect() 挑最強的網絡但不檢查能否到伺服器，62:70 開機連上到不了 Mac 的熱點後一直卡著（見 P2-22 ④ 或另開任務）。分支 r-37-wifi-switch 未推送。</t>
        </is>
      </c>
    </row>
    <row r="312" ht="46" customHeight="1">
      <c r="A312" s="13" t="inlineStr">
        <is>
          <t>2026-10-15 10:26</t>
        </is>
      </c>
      <c r="B312" s="13" t="inlineStr">
        <is>
          <t>R-36</t>
        </is>
      </c>
      <c r="C312" s="6" t="inlineStr">
        <is>
          <t>未認領的設備停在配對狀態，不再每秒重連 websocket</t>
        </is>
      </c>
      <c r="D312" s="13" t="inlineStr">
        <is>
          <t>進行中</t>
        </is>
      </c>
      <c r="E312" s="13" t="inlineStr">
        <is>
          <t>進行中</t>
        </is>
      </c>
      <c r="F312" s="13" t="inlineStr">
        <is>
          <t>部分通過</t>
        </is>
      </c>
      <c r="G312" s="6" t="inlineStr">
        <is>
          <t>補充 2026-10-15（1.7.5，含 R-36）：已綁定時兩次 Wi-Fi 切換各斷網 9–11 秒，都自動重連並重新 auth，沒有停在暫停狀態；30 秒斷網仍未做</t>
        </is>
      </c>
      <c r="H312" s="13" t="n"/>
      <c r="I312" s="6" t="n"/>
    </row>
    <row r="313" ht="46" customHeight="1">
      <c r="A313" s="13" t="inlineStr">
        <is>
          <t>2026-10-15 10:26</t>
        </is>
      </c>
      <c r="B313" s="13" t="inlineStr">
        <is>
          <t>R-37</t>
        </is>
      </c>
      <c r="C313" s="6" t="inlineStr">
        <is>
          <t>網頁設定玩具的 Wi-Fi：查看、新增、刪除</t>
        </is>
      </c>
      <c r="D313" s="13" t="inlineStr">
        <is>
          <t>進行中</t>
        </is>
      </c>
      <c r="E313" s="13" t="inlineStr">
        <is>
          <t>進行中</t>
        </is>
      </c>
      <c r="F313" s="13" t="n"/>
      <c r="G313" s="6" t="n"/>
      <c r="H313" s="13" t="inlineStr">
        <is>
          <t>22d7674</t>
        </is>
      </c>
      <c r="I313" s="6" t="inlineStr">
        <is>
          <t>更正上一條備註：stale『找不到』的修正是 22d7674（切換功能本身是 3c180cd）。</t>
        </is>
      </c>
    </row>
    <row r="314" ht="32" customHeight="1">
      <c r="A314" s="13" t="inlineStr">
        <is>
          <t>2026-10-15 10:29</t>
        </is>
      </c>
      <c r="B314" s="13" t="inlineStr">
        <is>
          <t>P2-24</t>
        </is>
      </c>
      <c r="C314" s="6" t="inlineStr">
        <is>
          <t>麥克風上行改用 IMA ADPCM（減少 4 倍頻寬）</t>
        </is>
      </c>
      <c r="E314" s="13" t="inlineStr">
        <is>
          <t>未開始</t>
        </is>
      </c>
      <c r="I314" s="6" t="inlineStr">
        <is>
          <t>新增任務</t>
        </is>
      </c>
    </row>
    <row r="315" ht="46" customHeight="1">
      <c r="A315" s="13" t="inlineStr">
        <is>
          <t>2026-10-15 10:29</t>
        </is>
      </c>
      <c r="B315" s="13" t="inlineStr">
        <is>
          <t>P2-25</t>
        </is>
      </c>
      <c r="C315" s="6" t="inlineStr">
        <is>
          <t>C3 斷線後自救：TLS 握手超時縮短、連續失敗重設 Wi-Fi 或重開、修重試漏記憶體</t>
        </is>
      </c>
      <c r="E315" s="13" t="inlineStr">
        <is>
          <t>未開始</t>
        </is>
      </c>
      <c r="I315" s="6" t="inlineStr">
        <is>
          <t>新增任務</t>
        </is>
      </c>
    </row>
    <row r="316" ht="46" customHeight="1">
      <c r="A316" s="13" t="inlineStr">
        <is>
          <t>2026-10-15 10:29</t>
        </is>
      </c>
      <c r="B316" s="13" t="inlineStr">
        <is>
          <t>P2-25</t>
        </is>
      </c>
      <c r="C316" s="6" t="inlineStr">
        <is>
          <t>C3 斷線後自救：TLS 握手超時縮短、連續失敗重設 Wi-Fi 或重開、修重試漏記憶體</t>
        </is>
      </c>
      <c r="D316" s="13" t="inlineStr">
        <is>
          <t>未開始</t>
        </is>
      </c>
      <c r="E316" s="13" t="inlineStr">
        <is>
          <t>未開始</t>
        </is>
      </c>
      <c r="F316" s="13" t="n"/>
      <c r="G316" s="6" t="n"/>
      <c r="H316" s="13" t="n"/>
      <c r="I316" s="6" t="inlineStr">
        <is>
          <t>修改了依賴→</t>
        </is>
      </c>
    </row>
    <row r="317" ht="32" customHeight="1">
      <c r="A317" s="13" t="inlineStr">
        <is>
          <t>2026-10-15 10:29</t>
        </is>
      </c>
      <c r="B317" s="13" t="inlineStr">
        <is>
          <t>P2-24</t>
        </is>
      </c>
      <c r="C317" s="6" t="inlineStr">
        <is>
          <t>麥克風上行改用 IMA ADPCM（減少 4 倍頻寬）</t>
        </is>
      </c>
      <c r="D317" s="13" t="inlineStr">
        <is>
          <t>未開始</t>
        </is>
      </c>
      <c r="E317" s="13" t="inlineStr">
        <is>
          <t>進行中</t>
        </is>
      </c>
      <c r="F317" s="13" t="n"/>
      <c r="G317" s="6" t="n"/>
      <c r="H317" s="13" t="n"/>
      <c r="I317" s="6" t="n"/>
    </row>
    <row r="318" ht="158" customHeight="1">
      <c r="A318" s="13" t="inlineStr">
        <is>
          <t>2026-10-15 10:29</t>
        </is>
      </c>
      <c r="B318" s="13" t="inlineStr">
        <is>
          <t>P2-22</t>
        </is>
      </c>
      <c r="C318" s="6" t="inlineStr">
        <is>
          <t>改服務器網址也不失聯：語音網址由後端下發、後端網址可遷移、已確認韌體長期連不上時自救</t>
        </is>
      </c>
      <c r="D318" s="13" t="inlineStr">
        <is>
          <t>進行中</t>
        </is>
      </c>
      <c r="E318" s="13" t="inlineStr">
        <is>
          <t>進行中</t>
        </is>
      </c>
      <c r="F318" s="13" t="n"/>
      <c r="G318" s="6" t="n"/>
      <c r="H318" s="13" t="n"/>
      <c r="I318" s="6" t="inlineStr">
        <is>
          <t>2026-10-15（用戶決定只記備註、不另開任務）：開機時 tryConnect() 挑訊號最強的已存網絡，但不檢查能否到伺服器。若該網絡本身上不了網（熱點關了流動數據、要網頁登入的酒店 Wi-Fi、寬頻斷了），玩具每次開機都會卡在那裡，即使另一個已存網絡可用。做 ④ 時一併考慮：連上後取不到 token 就改試下一個已存網絡。62:70 連著到不了本機伺服器的 iPhone 熱點時出現過，但那是本機測試環境造成的，雲端不會。</t>
        </is>
      </c>
    </row>
    <row r="319" ht="60" customHeight="1">
      <c r="A319" s="13" t="inlineStr">
        <is>
          <t>2026-10-15 10:29</t>
        </is>
      </c>
      <c r="B319" s="13" t="inlineStr">
        <is>
          <t>R-37</t>
        </is>
      </c>
      <c r="C319" s="6" t="inlineStr">
        <is>
          <t>網頁設定玩具的 Wi-Fi：查看、新增、刪除</t>
        </is>
      </c>
      <c r="D319" s="13" t="inlineStr">
        <is>
          <t>進行中</t>
        </is>
      </c>
      <c r="E319" s="13" t="inlineStr">
        <is>
          <t>進行中</t>
        </is>
      </c>
      <c r="F319" s="13" t="n"/>
      <c r="G319" s="6" t="n"/>
      <c r="H319" s="13" t="n"/>
      <c r="I319" s="6" t="inlineStr">
        <is>
          <t>2026-10-15：⑦ 的成功切換在本機測不到（熱點到不了 Mac 上的伺服器），留到部署上 UAT 或雲端後用 iPhone 熱點測一次。</t>
        </is>
      </c>
    </row>
    <row r="320" ht="158" customHeight="1">
      <c r="A320" s="13" t="inlineStr">
        <is>
          <t>2026-10-15 10:42</t>
        </is>
      </c>
      <c r="B320" s="13" t="inlineStr">
        <is>
          <t>P2-24</t>
        </is>
      </c>
      <c r="C320" s="6" t="inlineStr">
        <is>
          <t>麥克風上行改用 IMA ADPCM（減少 4 倍頻寬）</t>
        </is>
      </c>
      <c r="D320" s="13" t="inlineStr">
        <is>
          <t>進行中</t>
        </is>
      </c>
      <c r="E320" s="13" t="inlineStr">
        <is>
          <t>進行中</t>
        </is>
      </c>
      <c r="F320" s="13" t="inlineStr">
        <is>
          <t>部分通過</t>
        </is>
      </c>
      <c r="G320" s="6" t="inlineStr">
        <is>
          <t>① pytest test_mic_adpcm 10 項：Mac 上編譯 firmware MicAdpcm.cpp，與 audioop 逐 byte 一致（改壞一個表值即失敗）；分塊解碼 = 連續流解碼；掉一塊只損失該塊；人聲段 SNR &gt; 20dB；全套 275 passed ② 伺服器按 X-Mic-Codec 解碼，無 header 照舊 PCM（10:37 1.7.5 → mic=pcm，10:40 1.7.6 → mic=adpcm）③ 62:70 Guest（2026-10-15）：ADPCM 3 輪 Azure zh-HK 辨識通順完整（如『但係點解依家望到外邊係陰天嘅？』），STT 431–526ms，對照同場 PCM 560ms；上行 27,650B/3,370ms 與 16,625B/2,026ms = 8.2 B/ms（PCM 32），發送最長 3ms、最低 heap 55KB</t>
        </is>
      </c>
      <c r="H320" s="13" t="inlineStr">
        <is>
          <t>1ed9d3b</t>
        </is>
      </c>
      <c r="I320" s="6" t="inlineStr">
        <is>
          <t>未做：④ 雲端板在 iPhone 熱點重跑 10/13 量度（等雲端可測）；⑤ 舊韌體 1.0.1 連新伺服器（邏輯上無 header 即 PCM，pytest 已覆蓋，未實機）；用戶確認辨識文字與原話一致。分支 p2-24-adpcm-uplink 未合併、未推送。</t>
        </is>
      </c>
    </row>
    <row r="321" ht="130" customHeight="1">
      <c r="A321" s="13" t="inlineStr">
        <is>
          <t>2026-10-15 10:42</t>
        </is>
      </c>
      <c r="B321" s="13" t="inlineStr">
        <is>
          <t>R-37</t>
        </is>
      </c>
      <c r="C321" s="6" t="inlineStr">
        <is>
          <t>網頁設定玩具的 Wi-Fi：查看、新增、刪除</t>
        </is>
      </c>
      <c r="D321" s="13" t="inlineStr">
        <is>
          <t>進行中</t>
        </is>
      </c>
      <c r="E321" s="13" t="inlineStr">
        <is>
          <t>進行中</t>
        </is>
      </c>
      <c r="F321" s="13" t="inlineStr">
        <is>
          <t>部分通過</t>
        </is>
      </c>
      <c r="G321" s="6" t="inlineStr">
        <is>
          <t>62:70（1.7.4/1.7.5，2026-10-15）：① 熱點關掉後醒來改連 HKQF - Guest 並上線（發生在醒來重開時）⑦ Use 按鈕、確認框、『Moving to…』；熱點關著時按 Use → 11 秒內頁面顯示『couldn't find lee’s iPhone nearby. It's back on HKQF - Guest』，串口 not_found → Back on Guest → 重連。過程中發現並修正：驅動殘留上一次的『找不到』令連回原網絡立即失敗並掉進 SoftAP（joinFor 6 秒內不信失敗，tryConnect 同用）。pytest 272 passed</t>
        </is>
      </c>
      <c r="H321" s="13" t="inlineStr">
        <is>
          <t>3c180cd</t>
        </is>
      </c>
      <c r="I321" s="6" t="inlineStr">
        <is>
          <t>未做：⑦ 熱點開著但到不了伺服器（no_internet）→ 退回；⑦ 成功切換（需第二個能到 Mac 的網絡）；② 密碼打錯。發現：開機挑最強訊號、不檢查能否到伺服器，62:70 開機時連上 iPhone 熱點就一直取不到 token（本機伺服器到不了），建議併入 P2-22 ④ 或另開。分支 r-37-wifi-switch（3c180cd + 修正）未合併、未推送。</t>
        </is>
      </c>
    </row>
    <row r="322" ht="172" customHeight="1">
      <c r="A322" s="13" t="inlineStr">
        <is>
          <t>2026-10-15 11:31</t>
        </is>
      </c>
      <c r="B322" s="13" t="inlineStr">
        <is>
          <t>P2-25</t>
        </is>
      </c>
      <c r="C322" s="6" t="inlineStr">
        <is>
          <t>C3 斷線後自救：TLS 握手超時縮短、連續失敗重設 Wi-Fi 或重開、修重試漏記憶體</t>
        </is>
      </c>
      <c r="D322" s="13" t="inlineStr">
        <is>
          <t>未開始</t>
        </is>
      </c>
      <c r="E322" s="13" t="inlineStr">
        <is>
          <t>進行中</t>
        </is>
      </c>
      <c r="F322" s="13" t="inlineStr">
        <is>
          <t>部分通過</t>
        </is>
      </c>
      <c r="G322" s="6" t="inlineStr">
        <is>
          <t>62:70（2026-10-15，分支 p2-25-reconnect-recovery，1.7.7/1.7.8，wss 連 Mac 上只接受不回應的端口）：① 握手每 16 秒失敗一次（15s 超時 + 1s 重連；以前 121s），objdump 確認 WiFiClientSecure 兩處呼叫都經 __wrap ② 63s、129s 重設 Wi-Fi，193s 靜默重開（Chime: boot skipped），重開後只重設 Wi-Fi（63/127/191/240s），不再重開 ③ 3s 超時版 65 次失敗握手：heap 64,424 → 64,300（波動 64,068–64,504），無漏 ④ 健康連線 2 分鐘無誤判；語音伺服器停 40 秒，恢復後 1 秒內重連。測試中發現並修正兩個問題：token 200 曾清除失聯記錄（每 3 分鐘重開）；只看事件不看狀態曾在健康連線 60 秒後重設 Wi-Fi</t>
        </is>
      </c>
      <c r="H322" s="13" t="inlineStr">
        <is>
          <t>dc5598a</t>
        </is>
      </c>
      <c r="I322" s="6" t="inlineStr">
        <is>
          <t>改為按時間而非次數：websocket 函式庫連線失敗時不發事件。未做：③ 的 10/13 熱點漏記憶體情境未重現（本次測的是握手超時路徑）；雲端板在 iPhone 熱點實測斷線後 1 分鐘內恢復（等雲端可測）。分支未合併、未推送。；修改了驗收標準</t>
        </is>
      </c>
    </row>
    <row r="323" ht="214" customHeight="1">
      <c r="A323" s="13" t="inlineStr">
        <is>
          <t>2026-10-15 14:49</t>
        </is>
      </c>
      <c r="B323" s="13" t="inlineStr">
        <is>
          <t>P2-25</t>
        </is>
      </c>
      <c r="C323" s="6" t="inlineStr">
        <is>
          <t>C3 斷線後自救：TLS 握手超時縮短、連續失敗重設 Wi-Fi 或重開、修重試漏記憶體</t>
        </is>
      </c>
      <c r="D323" s="13" t="inlineStr">
        <is>
          <t>進行中</t>
        </is>
      </c>
      <c r="E323" s="13" t="inlineStr">
        <is>
          <t>進行中</t>
        </is>
      </c>
      <c r="F323" s="13" t="inlineStr">
        <is>
          <t>部分通過</t>
        </is>
      </c>
      <c r="G323" s="6" t="inlineStr">
        <is>
          <t>62:70（2026-10-15，hw-test-1015 1.8.1/1.8.2）：① 黑洞端口：開機音 → 8 秒 Chime: wifi_try（用戶：聽到「正在連接」、燈在閃，看似藍色）；63 秒『The internet answers and our server does not』→ 黃燈；192 秒靜默重開（boot skipped），修正後重開不再播 wifi_try ② 無互聯網版：63 秒 No internet through HKQF - Guest → 改試（熱點不在，回到 Guest）；128 秒 opening Wi-Fi setup → AP AIBuddy-6270 → Chime: wifi_no_ap、wifi_setup ③ 65 次失敗握手 heap 64,424 → 64,300 無漏 ④ 健康連線 2 分鐘無誤判；伺服器停 40 秒後 1 秒內重連；正常版開機即連上、不播 wifi_try。測試中修正四個問題：token 200 清除失聯記錄；只看事件不看狀態（健康連線被重設）；Audio.cpp 的 #include 只對降採樣板生效（S3 編譯失敗）；靜默重開後又播「正在連接」</t>
        </is>
      </c>
      <c r="H323" s="13" t="inlineStr">
        <is>
          <t>45961e4</t>
        </is>
      </c>
      <c r="I323" s="6" t="inlineStr">
        <is>
          <t>未做：⑤ 用戶確認黃燈、洋紅燈和兩句配網提示；⑥ 雲端板在熱點實測；10/13 的熱點漏記憶體情境未重現。配網目前是『連接 AI Buddy 嘅熱點』，App 經藍牙配網等 R-21，屆時換提示錄音；『正在尋找網絡』錄音未有，暫用 wifi_try。分支 p2-25-reconnect-recovery 未合併、未推送。；修改了驗收標準、測試方法</t>
        </is>
      </c>
    </row>
    <row r="324" ht="158" customHeight="1">
      <c r="A324" s="13" t="inlineStr">
        <is>
          <t>2026-10-15 21:46</t>
        </is>
      </c>
      <c r="B324" s="13" t="inlineStr">
        <is>
          <t>P0-11</t>
        </is>
      </c>
      <c r="C324" s="6" t="inlineStr">
        <is>
          <t>設備認領要求持有證明</t>
        </is>
      </c>
      <c r="D324" s="13" t="inlineStr">
        <is>
          <t>進行中</t>
        </is>
      </c>
      <c r="E324" s="13" t="inlineStr">
        <is>
          <t>進行中</t>
        </is>
      </c>
      <c r="F324" s="13" t="n"/>
      <c r="G324" s="6" t="n"/>
      <c r="H324" s="13" t="n"/>
      <c r="I324" s="6" t="inlineStr">
        <is>
          <t>2026-10-15 併入 dev（41be698，未推送）。dev 已刪舊設定頁，認領清單開關移到 Account/AddDevice.tsx：DEVICE_CLAIM_LIST 關閉時清單回 null、停止輪詢、提示用 App 加設備。合併後 pytest 293、tsc 0、node 19/19、pio 18 env 全過；本機 DB 以 BEGIN/ROLLBACK 重套 migration 無錯。部署注意：沒有藍牙 App（R-21）前 UAT 要設 DEVICE_CLAIM_LIST=True，否則無法加板。</t>
        </is>
      </c>
    </row>
    <row r="325" ht="88" customHeight="1">
      <c r="A325" s="13" t="inlineStr">
        <is>
          <t>2026-10-16 10:04</t>
        </is>
      </c>
      <c r="B325" s="13" t="inlineStr">
        <is>
          <t>P2-20</t>
        </is>
      </c>
      <c r="C325" s="6" t="inlineStr">
        <is>
          <t>P2-16 ④ 從後台上傳與發佈韌體（取代手貼 service key）</t>
        </is>
      </c>
      <c r="D325" s="13" t="inlineStr">
        <is>
          <t>已完成</t>
        </is>
      </c>
      <c r="E325" s="13" t="inlineStr">
        <is>
          <t>已完成</t>
        </is>
      </c>
      <c r="F325" s="13" t="n"/>
      <c r="G325" s="6" t="n"/>
      <c r="H325" s="13" t="n"/>
      <c r="I325" s="6" t="inlineStr">
        <is>
          <t>部署：nginx 上傳上限已寫進上線腳本 step 3c（conf.d/00-upload-limit.conf，16m，nginx -t 後 reload，並以 2MB POST 驗證不是 413；step 5 再查一次），本機 nginx 容器測過 4 種情況。commit b1e9d20，未推送</t>
        </is>
      </c>
    </row>
    <row r="326" ht="32" customHeight="1">
      <c r="A326" s="13" t="inlineStr">
        <is>
          <t>2026-10-19 11:57</t>
        </is>
      </c>
      <c r="B326" s="13" t="inlineStr">
        <is>
          <t>R-25</t>
        </is>
      </c>
      <c r="C326" s="6" t="inlineStr">
        <is>
          <t>網頁的品牌主題系統</t>
        </is>
      </c>
      <c r="D326" s="13" t="inlineStr">
        <is>
          <t>未開始</t>
        </is>
      </c>
      <c r="E326" s="13" t="inlineStr">
        <is>
          <t>進行中</t>
        </is>
      </c>
      <c r="F326" s="13" t="n"/>
      <c r="G326" s="6" t="n"/>
      <c r="H326" s="13" t="n"/>
      <c r="I326" s="6" t="n"/>
    </row>
    <row r="327" ht="256" customHeight="1">
      <c r="A327" s="13" t="inlineStr">
        <is>
          <t>2026-10-19 11:57</t>
        </is>
      </c>
      <c r="B327" s="13" t="inlineStr">
        <is>
          <t>R-25</t>
        </is>
      </c>
      <c r="C327" s="6" t="inlineStr">
        <is>
          <t>網頁的品牌主題系統</t>
        </is>
      </c>
      <c r="D327" s="13" t="inlineStr">
        <is>
          <t>進行中</t>
        </is>
      </c>
      <c r="E327" s="13" t="inlineStr">
        <is>
          <t>進行中</t>
        </is>
      </c>
      <c r="F327" s="13" t="inlineStr">
        <is>
          <t>部分通過</t>
        </is>
      </c>
      <c r="G327" s="6" t="inlineStr">
        <is>
          <t>分支 r-25-brand-themes（3e59883 + c6654ed，worktree aibuddy-brands）：同一個 next build 的 standalone server.js 以 BRAND=aibuddy/hkjc/genex 各啟動一次 → /login 標題『Login | AI Buddy／快活／GEN-EX』、SSR &lt;head&gt; 內 :root --brand-primary 各自不同（無閃爍）、標誌與標語對；cp -R genex zz-test 改 JSON、不改程式不重 build → 『Login | Test Brand』；BRAND=nope → 500 並記錄 brands/nope/brand.json does not exist；brand.json 填錯 → 500 並逐欄報錯。dev 實測 hkjc：設備預設名『快活』、中文加設備提示、無方案徽章、/home/account/child 404。grep 共用程式碼：無品牌名、無 AI Buddy 色值（剩韌體熱點前綴、JWT audience、seed 帳號等技術識別碼）。tsc 0 錯、next build 通過、node --test 22/22。未做：① 首頁、上手流程、角色頁的整頁品牌版本（只有文案、圖片、功能開關可按品牌）和圖片 logo，等設計負責人（待定）10/23 的設計；hkjc/genex 名稱、顏色、文案是佔位。</t>
        </is>
      </c>
      <c r="H327" s="13" t="inlineStr">
        <is>
          <t>3e59883</t>
        </is>
      </c>
      <c r="I327" s="6" t="inlineStr">
        <is>
          <t>品牌由執行時的 BRAND 環境變數決定（同一個 image 服務三個品牌）；另刪除 52 個沒有路由使用的 Elato 舊元件和約 30MB 無引用圖片。未合併 dev、未部署。</t>
        </is>
      </c>
    </row>
    <row r="328" ht="32" customHeight="1">
      <c r="A328" s="13" t="inlineStr">
        <is>
          <t>2026-10-19 12:57</t>
        </is>
      </c>
      <c r="B328" s="13" t="inlineStr">
        <is>
          <t>R-42</t>
        </is>
      </c>
      <c r="C328" s="6" t="inlineStr">
        <is>
          <t>Tool call v1：調音量、結束對話</t>
        </is>
      </c>
      <c r="E328" s="13" t="inlineStr">
        <is>
          <t>未開始</t>
        </is>
      </c>
      <c r="I328" s="6" t="inlineStr">
        <is>
          <t>新增任務</t>
        </is>
      </c>
    </row>
    <row r="329" ht="32" customHeight="1">
      <c r="A329" s="13" t="inlineStr">
        <is>
          <t>2026-10-19 12:57</t>
        </is>
      </c>
      <c r="B329" s="13" t="inlineStr">
        <is>
          <t>R-43</t>
        </is>
      </c>
      <c r="C329" s="6" t="inlineStr">
        <is>
          <t>快活知識庫 RAG v1（檢索與回答）</t>
        </is>
      </c>
      <c r="E329" s="13" t="inlineStr">
        <is>
          <t>未開始</t>
        </is>
      </c>
      <c r="I329" s="6" t="inlineStr">
        <is>
          <t>新增任務</t>
        </is>
      </c>
    </row>
    <row r="330" ht="32" customHeight="1">
      <c r="A330" s="13" t="inlineStr">
        <is>
          <t>2026-10-19 12:58</t>
        </is>
      </c>
      <c r="B330" s="13" t="inlineStr">
        <is>
          <t>R-42</t>
        </is>
      </c>
      <c r="C330" s="6" t="inlineStr">
        <is>
          <t>Tool call v1：調音量、結束對話</t>
        </is>
      </c>
      <c r="D330" s="13" t="inlineStr">
        <is>
          <t>未開始</t>
        </is>
      </c>
      <c r="E330" s="13" t="inlineStr">
        <is>
          <t>進行中</t>
        </is>
      </c>
      <c r="F330" s="13" t="n"/>
      <c r="G330" s="6" t="n"/>
      <c r="H330" s="13" t="n"/>
      <c r="I330" s="6" t="n"/>
    </row>
    <row r="331" ht="228" customHeight="1">
      <c r="A331" s="13" t="inlineStr">
        <is>
          <t>2026-10-19 12:58</t>
        </is>
      </c>
      <c r="B331" s="13" t="inlineStr">
        <is>
          <t>R-42</t>
        </is>
      </c>
      <c r="C331" s="6" t="inlineStr">
        <is>
          <t>Tool call v1：調音量、結束對話</t>
        </is>
      </c>
      <c r="D331" s="13" t="inlineStr">
        <is>
          <t>進行中</t>
        </is>
      </c>
      <c r="E331" s="13" t="inlineStr">
        <is>
          <t>進行中</t>
        </is>
      </c>
      <c r="F331" s="13" t="inlineStr">
        <is>
          <t>部分通過</t>
        </is>
      </c>
      <c r="G331" s="6" t="inlineStr">
        <is>
          <t>分支 tool-call-rag（e80784b、f24b809、f90a657，worktree aibuddy-tools）：evals/voice_tools 真實模型、伺服器提示詞同工具定義，每案 ×3：調音量 gemma 60/60、DeepSeek 59/60；結束對話 gemma 30/30＋50/50、DeepSeek 30/30＋49/50（唯一失敗係 DeepSeek 空回覆）；誤觸發 0/144（電視、鄰居、媽媽話我大聲、故事入面講拜拜等）。首字延遲：gemma 無增加（p50 856 vs 871ms），DeepSeek +150ms。本機端到端（simulate_device，Sinji 粵語錄音，7895 worktree 伺服器）：『你大聲啲啦』→ volume+auth 喺 RESPONSE.CREATED 前、70→85、devices.volume=85；『拜拜，我要瞓覺喇』→ 道別後 1.5s SESSION.END；記憶記錄三輪都正確。DeepSeek 先講『等我查吓先』再查：RESPONSE.COMPLETE 延後到答案講完（一個週期 22–33s 音頻）。pytest 325 passed。未做：真機 62:70 每個工具真實語音 20 次、合併 dev、部署。</t>
        </is>
      </c>
      <c r="H331" s="13" t="inlineStr">
        <is>
          <t>f24b809</t>
        </is>
      </c>
      <c r="I331" s="6" t="n"/>
    </row>
    <row r="332" ht="32" customHeight="1">
      <c r="A332" s="13" t="inlineStr">
        <is>
          <t>2026-10-19 12:58</t>
        </is>
      </c>
      <c r="B332" s="13" t="inlineStr">
        <is>
          <t>R-43</t>
        </is>
      </c>
      <c r="C332" s="6" t="inlineStr">
        <is>
          <t>快活知識庫 RAG v1（檢索與回答）</t>
        </is>
      </c>
      <c r="D332" s="13" t="inlineStr">
        <is>
          <t>未開始</t>
        </is>
      </c>
      <c r="E332" s="13" t="inlineStr">
        <is>
          <t>進行中</t>
        </is>
      </c>
      <c r="F332" s="13" t="n"/>
      <c r="G332" s="6" t="n"/>
      <c r="H332" s="13" t="n"/>
      <c r="I332" s="6" t="n"/>
    </row>
    <row r="333" ht="144" customHeight="1">
      <c r="A333" s="13" t="inlineStr">
        <is>
          <t>2026-10-19 12:58</t>
        </is>
      </c>
      <c r="B333" s="13" t="inlineStr">
        <is>
          <t>R-43</t>
        </is>
      </c>
      <c r="C333" s="6" t="inlineStr">
        <is>
          <t>快活知識庫 RAG v1（檢索與回答）</t>
        </is>
      </c>
      <c r="D333" s="13" t="inlineStr">
        <is>
          <t>進行中</t>
        </is>
      </c>
      <c r="E333" s="13" t="inlineStr">
        <is>
          <t>進行中</t>
        </is>
      </c>
      <c r="F333" s="13" t="inlineStr">
        <is>
          <t>部分通過</t>
        </is>
      </c>
      <c r="G333" s="6" t="inlineStr">
        <is>
          <t>BM25 檢索搬入伺服器（knowledge.py），KNOWLEDGE_BASE_FILE 指定，工具描述、查唔到嘅回覆、額外規則（唔畀貼士）都喺資料檔。用 13 條示範資料：evals/voice_tools 命中題 gemma 答對事實 12/12、DeepSeek 11–12/12；查唔到 → 固定句或者講唔清楚，冇自己作；貼士三題兩個模型都婉拒。已知問題：部分命中（沙田馬場有冇餐廳）DeepSeek 3 次有 2 次用自己知識補充（『係有餐廳㗎』），gemma 冇。未做：馬會資料、設計負責人（待定）100 條測試問題、MIN_SCORE 重新量、入庫審批流程。</t>
        </is>
      </c>
      <c r="H333" s="13" t="inlineStr">
        <is>
          <t>e80784b</t>
        </is>
      </c>
      <c r="I333" s="6" t="n"/>
    </row>
    <row r="334" ht="32" customHeight="1">
      <c r="A334" s="13" t="inlineStr">
        <is>
          <t>2026-10-19 12:58</t>
        </is>
      </c>
      <c r="B334" s="13" t="inlineStr">
        <is>
          <t>R-43</t>
        </is>
      </c>
      <c r="C334" s="6" t="inlineStr">
        <is>
          <t>快活知識庫 RAG v1（檢索與回答）</t>
        </is>
      </c>
      <c r="D334" s="13" t="inlineStr">
        <is>
          <t>進行中</t>
        </is>
      </c>
      <c r="E334" s="13" t="inlineStr">
        <is>
          <t>進行中</t>
        </is>
      </c>
      <c r="F334" s="13" t="n"/>
      <c r="G334" s="6" t="n"/>
      <c r="H334" s="13" t="n"/>
      <c r="I334" s="6" t="inlineStr">
        <is>
          <t>修改了依賴→R-42</t>
        </is>
      </c>
    </row>
    <row r="335" ht="32" customHeight="1">
      <c r="A335" s="13" t="inlineStr">
        <is>
          <t>2026-10-19 12:58</t>
        </is>
      </c>
      <c r="B335" s="13" t="inlineStr">
        <is>
          <t>R-43</t>
        </is>
      </c>
      <c r="C335" s="6" t="inlineStr">
        <is>
          <t>快活知識庫 RAG v1（檢索與回答）</t>
        </is>
      </c>
      <c r="D335" s="13" t="inlineStr">
        <is>
          <t>進行中</t>
        </is>
      </c>
      <c r="E335" s="13" t="inlineStr">
        <is>
          <t>進行中</t>
        </is>
      </c>
      <c r="F335" s="13" t="n"/>
      <c r="G335" s="6" t="n"/>
      <c r="H335" s="13" t="n"/>
      <c r="I335" s="6" t="inlineStr">
        <is>
          <t>修改了依賴→</t>
        </is>
      </c>
    </row>
    <row r="336" ht="32" customHeight="1">
      <c r="A336" s="13" t="inlineStr">
        <is>
          <t>2026-10-20 16:45</t>
        </is>
      </c>
      <c r="B336" s="13" t="inlineStr">
        <is>
          <t>R-44</t>
        </is>
      </c>
      <c r="C336" s="6" t="inlineStr">
        <is>
          <t>知識庫後台頁面與審批流程</t>
        </is>
      </c>
      <c r="E336" s="13" t="inlineStr">
        <is>
          <t>未開始</t>
        </is>
      </c>
      <c r="I336" s="6" t="inlineStr">
        <is>
          <t>新增任務</t>
        </is>
      </c>
    </row>
    <row r="337" ht="32" customHeight="1">
      <c r="A337" s="13" t="inlineStr">
        <is>
          <t>2026-10-20 16:45</t>
        </is>
      </c>
      <c r="B337" s="13" t="inlineStr">
        <is>
          <t>R-44</t>
        </is>
      </c>
      <c r="C337" s="6" t="inlineStr">
        <is>
          <t>知識庫後台頁面與審批流程</t>
        </is>
      </c>
      <c r="D337" s="13" t="inlineStr">
        <is>
          <t>未開始</t>
        </is>
      </c>
      <c r="E337" s="13" t="inlineStr">
        <is>
          <t>未開始</t>
        </is>
      </c>
      <c r="F337" s="13" t="n"/>
      <c r="G337" s="6" t="n"/>
      <c r="H337" s="13" t="n"/>
      <c r="I337" s="6" t="inlineStr">
        <is>
          <t>修改了依賴→P1-10</t>
        </is>
      </c>
    </row>
    <row r="338" ht="102" customHeight="1">
      <c r="A338" s="13" t="inlineStr">
        <is>
          <t>2026-10-20 16:45</t>
        </is>
      </c>
      <c r="B338" s="13" t="inlineStr">
        <is>
          <t>R-43</t>
        </is>
      </c>
      <c r="C338" s="6" t="inlineStr">
        <is>
          <t>快活知識庫 RAG v1（檢索與回答）</t>
        </is>
      </c>
      <c r="D338" s="13" t="inlineStr">
        <is>
          <t>進行中</t>
        </is>
      </c>
      <c r="E338" s="13" t="inlineStr">
        <is>
          <t>進行中</t>
        </is>
      </c>
      <c r="F338" s="13" t="n"/>
      <c r="G338" s="6" t="n"/>
      <c r="H338" s="13" t="n"/>
      <c r="I338" s="6" t="inlineStr">
        <is>
          <t>2026-10-20 用戶同意先用 Excel 收資料：docs/knowledge/快活知識庫_範本.xlsx + scripts/knowledge_excel.py（check／import，測試問題只測檢索）。示範資料 + 96 條口語測試：62/88（70%），換講法 6/28。後台頁面另立 R-44。</t>
        </is>
      </c>
    </row>
  </sheetData>
  <autoFilter ref="A1:I33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2026-10-20T08:45:47Z</dcterms:modified>
</cp:coreProperties>
</file>