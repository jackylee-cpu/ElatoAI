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20:58　·　本頁由 tracker.py 自動生成，請勿手動編輯</t>
        </is>
      </c>
    </row>
    <row r="3">
      <c r="A3" s="3" t="inlineStr">
        <is>
          <t>總進度：21/89 已完成（24%）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9</v>
      </c>
      <c r="E8" s="7">
        <f>COUNTIFS('任務清單'!$B:$B,$A8,'任務清單'!$F:$F,E$5)</f>
        <v>6</v>
      </c>
      <c r="F8" s="7">
        <f>COUNTIFS('任務清單'!$B:$B,$A8,'任務清單'!$F:$F,F$5)</f>
        <v>6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0.2857142857142857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47</v>
      </c>
      <c r="E10" s="5">
        <f>SUM(E6:E9)</f>
        <v>16</v>
      </c>
      <c r="F10" s="5">
        <f>SUM(F6:F9)</f>
        <v>21</v>
      </c>
      <c r="G10" s="5">
        <f>SUM(G6:G9)</f>
        <v>5</v>
      </c>
      <c r="H10" s="5">
        <f>SUM(H6:H9)</f>
        <v>4</v>
      </c>
      <c r="I10" s="9">
        <f>IFERROR(F10/(C10-H10),0)</f>
        <v>0.23595505617977527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16</v>
      </c>
      <c r="E14" s="7">
        <f>COUNTIFS('任務清單'!$C:$C,$A14,'任務清單'!$F:$F,E$12)</f>
        <v>9</v>
      </c>
      <c r="F14" s="7">
        <f>COUNTIFS('任務清單'!$C:$C,$A14,'任務清單'!$F:$F,F$12)</f>
        <v>6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0.18181818181818182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47</v>
      </c>
      <c r="E17" s="5">
        <f>SUM(E13:E16)</f>
        <v>16</v>
      </c>
      <c r="F17" s="5">
        <f>SUM(F13:F16)</f>
        <v>21</v>
      </c>
      <c r="G17" s="5">
        <f>SUM(G13:G16)</f>
        <v>5</v>
      </c>
      <c r="H17" s="5">
        <f>SUM(H13:H16)</f>
        <v>4</v>
      </c>
      <c r="I17" s="9">
        <f>IFERROR(F17/(C17-H17),0)</f>
        <v>0.23595505617977527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16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242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P2-19</t>
        </is>
      </c>
      <c r="B46" s="6" t="inlineStr">
        <is>
          <t>P2-16 ③ 回滾過多時自動暫停推送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6" s="11" t="n"/>
      <c r="G46" s="11" t="n"/>
      <c r="H46" s="11" t="n"/>
      <c r="I46" s="12" t="n"/>
    </row>
    <row r="47" ht="200" customHeight="1">
      <c r="A47" s="13" t="inlineStr">
        <is>
          <t>P2-18</t>
        </is>
      </c>
      <c r="B47" s="6" t="inlineStr">
        <is>
          <t>P2-16 ② 按 MAC 雜湊穩定分組決定哪台收到 ota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47" s="11" t="n"/>
      <c r="G47" s="11" t="n"/>
      <c r="H47" s="11" t="n"/>
      <c r="I47" s="12" t="n"/>
    </row>
    <row r="48" ht="172" customHeight="1">
      <c r="A48" s="13" t="inlineStr">
        <is>
          <t>P2-17</t>
        </is>
      </c>
      <c r="B48" s="6" t="inlineStr">
        <is>
          <t>P2-16 ① 分批推送的數據表：推送階段、白名單、每台安裝結果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48" s="11" t="n"/>
      <c r="G48" s="11" t="n"/>
      <c r="H48" s="11" t="n"/>
      <c r="I48" s="12" t="n"/>
    </row>
    <row r="49" ht="116" customHeight="1">
      <c r="A49" s="13" t="inlineStr">
        <is>
          <t>R-41</t>
        </is>
      </c>
      <c r="B49" s="6" t="inlineStr">
        <is>
          <t>App 顯示玩具電量狀態（低電量提示）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9" s="11" t="n"/>
      <c r="G49" s="11" t="n"/>
      <c r="H49" s="11" t="n"/>
      <c r="I49" s="12" t="n"/>
    </row>
    <row r="50" ht="102" customHeight="1">
      <c r="A50" s="13" t="inlineStr">
        <is>
          <t>P0-12</t>
        </is>
      </c>
      <c r="B50" s="6" t="inlineStr">
        <is>
          <t>收緊 Admin 權限與路由保護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50" s="11" t="n"/>
      <c r="G50" s="11" t="n"/>
      <c r="H50" s="11" t="n"/>
      <c r="I50" s="12" t="n"/>
    </row>
    <row r="51" ht="88" customHeight="1">
      <c r="A51" s="13" t="inlineStr">
        <is>
          <t>P0-15</t>
        </is>
      </c>
      <c r="B51" s="6" t="inlineStr">
        <is>
          <t>角色表權限：只有內容管理員能發佈，關閉家長自建角色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1" s="11" t="n"/>
      <c r="G51" s="11" t="n"/>
      <c r="H51" s="11" t="n"/>
      <c r="I51" s="12" t="n"/>
    </row>
    <row r="52" ht="88" customHeight="1">
      <c r="A52" s="13" t="inlineStr">
        <is>
          <t>P0-16</t>
        </is>
      </c>
      <c r="B52" s="6" t="inlineStr">
        <is>
          <t>移除「醫生」身份與寫死的通關碼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2" s="11" t="n"/>
      <c r="G52" s="11" t="n"/>
      <c r="H52" s="11" t="n"/>
      <c r="I52" s="12" t="n"/>
    </row>
    <row r="53" ht="60" customHeight="1">
      <c r="A53" s="13" t="inlineStr">
        <is>
          <t>P0-09</t>
        </is>
      </c>
      <c r="B53" s="6" t="inlineStr">
        <is>
          <t>瀏覽器語音路由改用簽名 token（/ws/nextjs）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2026-10-12（bac24e9）：wss /fastapi/ws/nextjs 只帶 user_id 或 token=bogus → 4401；用戶確認：登入 elatoai.hkqft.com 後網頁 playground 可正常對話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P2-20</t>
        </is>
      </c>
      <c r="B62" s="6" t="inlineStr">
        <is>
          <t>P2-16 ④ 從後台上傳與發佈韌體（取代手貼 service key）</t>
        </is>
      </c>
      <c r="C62" s="6" t="inlineStr">
        <is>
          <t>等 P1-10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P2-21</t>
        </is>
      </c>
      <c r="B63" s="6" t="inlineStr">
        <is>
          <t>P2-16 ⑤ 後台 OTA 頁換成真實數據與操作</t>
        </is>
      </c>
      <c r="C63" s="6" t="inlineStr">
        <is>
          <t>等 P2-20、P2-14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R-05</t>
        </is>
      </c>
      <c r="B64" s="6" t="inlineStr">
        <is>
          <t>內測版外殼（3D 打印 20 台）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R-06</t>
        </is>
      </c>
      <c r="B65" s="6" t="inlineStr">
        <is>
          <t>家長自助上手流程</t>
        </is>
      </c>
      <c r="C65" s="6" t="inlineStr">
        <is>
          <t>等 P0-11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R-13</t>
        </is>
      </c>
      <c r="B66" s="6" t="inlineStr">
        <is>
          <t>CP1 內測就緒檢查（10/30）</t>
        </is>
      </c>
      <c r="C66" s="6" t="inlineStr">
        <is>
          <t>等 P0-07、P0-11、P1-01、P1-02、P2-09、R-01、R-02、R-04、R-05、R-06、P1-11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R-18</t>
        </is>
      </c>
      <c r="B67" s="6" t="inlineStr">
        <is>
          <t>長按 BOOT 重新配網（開 AIBuddy-XXXX 熱點）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R-19</t>
        </is>
      </c>
      <c r="B68" s="6" t="inlineStr">
        <is>
          <t>外接按鈕：量產板加 I2C 擴展晶片（TCA9555）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R-20</t>
        </is>
      </c>
      <c r="B69" s="6" t="inlineStr">
        <is>
          <t>孩子資料與角色改成每台設備一份</t>
        </is>
      </c>
      <c r="C69" s="6" t="inlineStr">
        <is>
          <t>等 P1-12</t>
        </is>
      </c>
      <c r="D69" s="11" t="n"/>
      <c r="E69" s="11" t="n"/>
      <c r="F69" s="11" t="n"/>
      <c r="G69" s="11" t="n"/>
      <c r="H69" s="11" t="n"/>
      <c r="I69" s="12" t="n"/>
    </row>
    <row r="70" ht="32" customHeight="1">
      <c r="A70" s="13" t="inlineStr">
        <is>
          <t>R-27</t>
        </is>
      </c>
      <c r="B70" s="6" t="inlineStr">
        <is>
          <t>App 內登入：驗證碼、原生社交登入、刪除帳號</t>
        </is>
      </c>
      <c r="C70" s="6" t="inlineStr">
        <is>
          <t>等 R-26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P0-14</t>
        </is>
      </c>
      <c r="B71" s="6" t="inlineStr">
        <is>
          <t>韌體簽章、Secure Boot 與 Flash 加密</t>
        </is>
      </c>
      <c r="C71" s="6" t="inlineStr">
        <is>
          <t>等 R-01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P1-06</t>
        </is>
      </c>
      <c r="B72" s="6" t="inlineStr">
        <is>
          <t>處理 GPL-3.0 依賴（arduino-audio-tools）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P1-07</t>
        </is>
      </c>
      <c r="B73" s="6" t="inlineStr">
        <is>
          <t>LGPL 合規與第三方授權聲明</t>
        </is>
      </c>
      <c r="C73" s="6" t="inlineStr">
        <is>
          <t>等 Q3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P1-08</t>
        </is>
      </c>
      <c r="B74" s="6" t="inlineStr">
        <is>
          <t>硬件認證</t>
        </is>
      </c>
      <c r="C74" s="6" t="inlineStr">
        <is>
          <t>等 R-01、R-05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P1-14</t>
        </is>
      </c>
      <c r="B75" s="6" t="inlineStr">
        <is>
          <t>Admin 內容安全頁：審核事件只按類別統計</t>
        </is>
      </c>
      <c r="C75" s="6" t="inlineStr">
        <is>
          <t>等 P1-01、P2-13</t>
        </is>
      </c>
      <c r="D75" s="11" t="n"/>
      <c r="E75" s="11" t="n"/>
      <c r="F75" s="11" t="n"/>
      <c r="G75" s="11" t="n"/>
      <c r="H75" s="11" t="n"/>
      <c r="I75" s="12" t="n"/>
    </row>
    <row r="76" ht="32" customHeight="1">
      <c r="A76" s="13" t="inlineStr">
        <is>
          <t>P2-15</t>
        </is>
      </c>
      <c r="B76" s="6" t="inlineStr">
        <is>
          <t>Admin 總覽頁：在線、用量、成本與待處理事項</t>
        </is>
      </c>
      <c r="C76" s="6" t="inlineStr">
        <is>
          <t>等 P2-14、P2-09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R-07</t>
        </is>
      </c>
      <c r="B77" s="6" t="inlineStr">
        <is>
          <t>20 個家庭封閉內測</t>
        </is>
      </c>
      <c r="C77" s="6" t="inlineStr">
        <is>
          <t>等 R-13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R-08</t>
        </is>
      </c>
      <c r="B78" s="6" t="inlineStr">
        <is>
          <t>第 8 週關卡決策</t>
        </is>
      </c>
      <c r="C78" s="6" t="inlineStr">
        <is>
          <t>等 R-07、P2-09、P1-08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R-14</t>
        </is>
      </c>
      <c r="B79" s="6" t="inlineStr">
        <is>
          <t>離線兒歌與故事</t>
        </is>
      </c>
      <c r="C79" s="6" t="inlineStr">
        <is>
          <t>等 R-01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R-24</t>
        </is>
      </c>
      <c r="B80" s="6" t="inlineStr">
        <is>
          <t>設備只能用自己品牌的角色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R-28</t>
        </is>
      </c>
      <c r="B81" s="6" t="inlineStr">
        <is>
          <t>三個 App 的殼：品牌版本與測試版</t>
        </is>
      </c>
      <c r="C81" s="6" t="inlineStr">
        <is>
          <t>等 R-25、R-26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R-30</t>
        </is>
      </c>
      <c r="B82" s="6" t="inlineStr">
        <is>
          <t>快活 App（品牌 A）頁面</t>
        </is>
      </c>
      <c r="C82" s="6" t="inlineStr">
        <is>
          <t>等 R-25、R-34、Q12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R-31</t>
        </is>
      </c>
      <c r="B83" s="6" t="inlineStr">
        <is>
          <t>政協青年聯會版 App（品牌 B）頁面</t>
        </is>
      </c>
      <c r="C83" s="6" t="inlineStr">
        <is>
          <t>等 R-25、R-34、Q13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R-35</t>
        </is>
      </c>
      <c r="B84" s="6" t="inlineStr">
        <is>
          <t>韌體按品牌連線：伺服器網址在出廠時寫入</t>
        </is>
      </c>
      <c r="C84" s="6" t="inlineStr">
        <is>
          <t>等 R-34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R-38</t>
        </is>
      </c>
      <c r="B85" s="6" t="inlineStr">
        <is>
          <t>公仔出廠鎖死所屬 IP，綁定時顯示該 IP 頭像</t>
        </is>
      </c>
      <c r="C85" s="6" t="inlineStr">
        <is>
          <t>等 P0-11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R-39</t>
        </is>
      </c>
      <c r="B86" s="6" t="inlineStr">
        <is>
          <t>Admin 出廠登記頁：匯入 MAC 清單、指定公仔、查看自檢結果</t>
        </is>
      </c>
      <c r="C86" s="6" t="inlineStr">
        <is>
          <t>等 R-38、P1-10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R-09</t>
        </is>
      </c>
      <c r="B87" s="6" t="inlineStr">
        <is>
          <t>量產外殼（真空複模）</t>
        </is>
      </c>
      <c r="C87" s="6" t="inlineStr">
        <is>
          <t>等 R-08、R-05、Q11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R-10</t>
        </is>
      </c>
      <c r="B88" s="6" t="inlineStr">
        <is>
          <t>出廠流程</t>
        </is>
      </c>
      <c r="C88" s="6" t="inlineStr">
        <is>
          <t>等 P0-14、R-01、P2-12、R-34、R-35、R-38、R-39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R-11</t>
        </is>
      </c>
      <c r="B89" s="6" t="inlineStr">
        <is>
          <t>售後：客服、保修與換機</t>
        </is>
      </c>
      <c r="C89" s="6" t="inlineStr">
        <is>
          <t>等 P2-14、R-40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R-15</t>
        </is>
      </c>
      <c r="B90" s="6" t="inlineStr">
        <is>
          <t>農曆新年前交付（生產 1/15、送達 1/29）</t>
        </is>
      </c>
      <c r="C90" s="6" t="inlineStr">
        <is>
          <t>等 R-09、R-10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R-33</t>
        </is>
      </c>
      <c r="B91" s="6" t="inlineStr">
        <is>
          <t>三個 App 送審並通過</t>
        </is>
      </c>
      <c r="C91" s="6" t="inlineStr">
        <is>
          <t>等 R-27、R-21、R-28、R-29、R-30、R-31、R-32</t>
        </is>
      </c>
      <c r="D91" s="11" t="n"/>
      <c r="E91" s="11" t="n"/>
      <c r="F91" s="11" t="n"/>
      <c r="G91" s="11" t="n"/>
      <c r="H91" s="11" t="n"/>
      <c r="I91" s="12" t="n"/>
    </row>
    <row r="92" ht="32" customHeight="1">
      <c r="A92" s="13" t="inlineStr">
        <is>
          <t>R-40</t>
        </is>
      </c>
      <c r="B92" s="6" t="inlineStr">
        <is>
          <t>Admin 客服查詢頁：查帳號、名下設備與最近事件</t>
        </is>
      </c>
      <c r="C92" s="6" t="inlineStr">
        <is>
          <t>等 P2-14、P1-10、P1-12</t>
        </is>
      </c>
      <c r="D92" s="11" t="n"/>
      <c r="E92" s="11" t="n"/>
      <c r="F92" s="11" t="n"/>
      <c r="G92" s="11" t="n"/>
      <c r="H92" s="11" t="n"/>
      <c r="I92" s="12" t="n"/>
    </row>
    <row r="94">
      <c r="A94" s="10" t="inlineStr">
        <is>
          <t>❓ 待確認問題</t>
        </is>
      </c>
    </row>
    <row r="95">
      <c r="A95" s="4" t="inlineStr">
        <is>
          <t>編號</t>
        </is>
      </c>
      <c r="B95" s="4" t="inlineStr">
        <is>
          <t>問題</t>
        </is>
      </c>
      <c r="C95" s="4" t="inlineStr">
        <is>
          <t>影響的任務 / 為什麼重要</t>
        </is>
      </c>
      <c r="D95" s="11" t="n"/>
      <c r="E95" s="11" t="n"/>
      <c r="F95" s="11" t="n"/>
      <c r="G95" s="11" t="n"/>
      <c r="H95" s="11" t="n"/>
      <c r="I95" s="12" t="n"/>
    </row>
    <row r="96" ht="18" customHeight="1">
      <c r="A96" s="13" t="inlineStr">
        <is>
          <t>Q3</t>
        </is>
      </c>
      <c r="B96" s="6" t="inlineStr">
        <is>
          <t>韌體打算閉源商業銷售嗎？</t>
        </is>
      </c>
      <c r="C96" s="6" t="inlineStr">
        <is>
          <t>P1-06, P1-07：決定 GPL／LGPL 依賴要開源還是替換。</t>
        </is>
      </c>
      <c r="D96" s="11" t="n"/>
      <c r="E96" s="11" t="n"/>
      <c r="F96" s="11" t="n"/>
      <c r="G96" s="11" t="n"/>
      <c r="H96" s="11" t="n"/>
      <c r="I96" s="12" t="n"/>
    </row>
    <row r="97" ht="32" customHeight="1">
      <c r="A97" s="13" t="inlineStr">
        <is>
          <t>Q11</t>
        </is>
      </c>
      <c r="B97" s="6" t="inlineStr">
        <is>
          <t>馬會快活的賽馬日版和新春版各多少隻（共 2,500）？</t>
        </is>
      </c>
      <c r="C97" s="6" t="inlineStr">
        <is>
          <t>R-09, R-15：兩款的服裝和配件要分開訂料；11/20 前不知道，PP 樣和大貨單（11/27）會被拖慢。由馬會決定。</t>
        </is>
      </c>
      <c r="D97" s="11" t="n"/>
      <c r="E97" s="11" t="n"/>
      <c r="F97" s="11" t="n"/>
      <c r="G97" s="11" t="n"/>
      <c r="H97" s="11" t="n"/>
      <c r="I97" s="12" t="n"/>
    </row>
    <row r="98" ht="60" customHeight="1">
      <c r="A98" s="13" t="inlineStr">
        <is>
          <t>Q12</t>
        </is>
      </c>
      <c r="B98" s="6" t="inlineStr">
        <is>
          <t>快活 App 的「會員綁定」是指甚麼：用我們自己的帳號（email 驗證碼），還是接馬會的會員帳號登入（SSO）？</t>
        </is>
      </c>
      <c r="C98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8" s="11" t="n"/>
      <c r="E98" s="11" t="n"/>
      <c r="F98" s="11" t="n"/>
      <c r="G98" s="11" t="n"/>
      <c r="H98" s="11" t="n"/>
      <c r="I98" s="12" t="n"/>
    </row>
    <row r="99" ht="46" customHeight="1">
      <c r="A99" s="13" t="inlineStr">
        <is>
          <t>Q13</t>
        </is>
      </c>
      <c r="B99" s="6" t="inlineStr">
        <is>
          <t>政協青年聯會版的角色、語言和內容由誰提供？什麼時候交？</t>
        </is>
      </c>
      <c r="C99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9" s="11" t="n"/>
      <c r="E99" s="11" t="n"/>
      <c r="F99" s="11" t="n"/>
      <c r="G99" s="11" t="n"/>
      <c r="H99" s="11" t="n"/>
      <c r="I99" s="12" t="n"/>
    </row>
    <row r="101">
      <c r="A101" s="10" t="inlineStr">
        <is>
          <t>說明</t>
        </is>
      </c>
    </row>
    <row r="102" ht="32" customHeight="1">
      <c r="A102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3" ht="18" customHeight="1">
      <c r="A103" s="14" t="inlineStr">
        <is>
          <t>・測試結果：未測試 / 通過 / 失敗 / 部分通過。測試證據寫跑了什麼、看到什麼，完整歷史在「更新記錄」。</t>
        </is>
      </c>
    </row>
    <row r="104" ht="18" customHeight="1">
      <c r="A104" s="14" t="inlineStr">
        <is>
          <t>・「接下來」按階段排序，同一階段內再按優先級；依賴還沒滿足的任務不會出現在「接下來」。</t>
        </is>
      </c>
    </row>
    <row r="105" ht="18" customHeight="1">
      <c r="A105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6" ht="32" customHeight="1">
      <c r="A106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7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A102:I102"/>
    <mergeCell ref="C85:I85"/>
    <mergeCell ref="C65:I65"/>
    <mergeCell ref="C75:I75"/>
    <mergeCell ref="C84:I84"/>
    <mergeCell ref="C80:I80"/>
    <mergeCell ref="E32:I32"/>
    <mergeCell ref="C59:I59"/>
    <mergeCell ref="A1:I1"/>
    <mergeCell ref="E41:I41"/>
    <mergeCell ref="A94:I94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A106:I10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7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
[2026-10-14] 2026-10-14 用戶決定提前到第 2 階段，現在開始做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</sheetData>
  <autoFilter ref="A1:I2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2026-10-14T12:58:56Z</dcterms:modified>
</cp:coreProperties>
</file>