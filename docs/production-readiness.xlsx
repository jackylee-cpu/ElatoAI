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'任務清單'!$A$1:$P$79</definedName>
    <definedName name="_xlnm._FilterDatabase" localSheetId="2" hidden="1">'待確認問題'!$A$1:$G$14</definedName>
    <definedName name="_xlnm._FilterDatabase" localSheetId="3" hidden="1">'更新記錄'!$A$1:$I$223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最後更新：2026-10-13 14:30　·　本頁由 tracker.py 自動生成，請勿手動編輯</t>
        </is>
      </c>
    </row>
    <row r="3">
      <c r="A3" s="3" t="inlineStr">
        <is>
          <t>總進度：17/75 已完成（23%）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12</v>
      </c>
      <c r="D7" s="7">
        <f>COUNTIFS('任務清單'!$B:$B,$A7,'任務清單'!$F:$F,D$5)</f>
        <v>10</v>
      </c>
      <c r="E7" s="7">
        <f>COUNTIFS('任務清單'!$B:$B,$A7,'任務清單'!$F:$F,E$5)</f>
        <v>1</v>
      </c>
      <c r="F7" s="7">
        <f>COUNTIFS('任務清單'!$B:$B,$A7,'任務清單'!$F:$F,F$5)</f>
        <v>0</v>
      </c>
      <c r="G7" s="7">
        <f>COUNTIFS('任務清單'!$B:$B,$A7,'任務清單'!$F:$F,G$5)</f>
        <v>1</v>
      </c>
      <c r="H7" s="7">
        <f>COUNTIFS('任務清單'!$B:$B,$A7,'任務清單'!$F:$F,H$5)</f>
        <v>0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12</v>
      </c>
      <c r="D8" s="7">
        <f>COUNTIFS('任務清單'!$B:$B,$A8,'任務清單'!$F:$F,D$5)</f>
        <v>8</v>
      </c>
      <c r="E8" s="7">
        <f>COUNTIFS('任務清單'!$B:$B,$A8,'任務清單'!$F:$F,E$5)</f>
        <v>1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0.25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37</v>
      </c>
      <c r="D9" s="7">
        <f>COUNTIFS('任務清單'!$B:$B,$A9,'任務清單'!$F:$F,D$5)</f>
        <v>26</v>
      </c>
      <c r="E9" s="7">
        <f>COUNTIFS('任務清單'!$B:$B,$A9,'任務清單'!$F:$F,E$5)</f>
        <v>4</v>
      </c>
      <c r="F9" s="7">
        <f>COUNTIFS('任務清單'!$B:$B,$A9,'任務清單'!$F:$F,F$5)</f>
        <v>1</v>
      </c>
      <c r="G9" s="7">
        <f>COUNTIFS('任務清單'!$B:$B,$A9,'任務清單'!$F:$F,G$5)</f>
        <v>4</v>
      </c>
      <c r="H9" s="7">
        <f>COUNTIFS('任務清單'!$B:$B,$A9,'任務清單'!$F:$F,H$5)</f>
        <v>2</v>
      </c>
      <c r="I9" s="8">
        <f>IFERROR(F9/(C9-H9),0)</f>
        <v>0.02857142857142857</v>
      </c>
    </row>
    <row r="10">
      <c r="A10" s="5" t="inlineStr">
        <is>
          <t>合計</t>
        </is>
      </c>
      <c r="B10" s="6" t="n"/>
      <c r="C10" s="5">
        <f>SUM(C6:C9)</f>
        <v>78</v>
      </c>
      <c r="D10" s="5">
        <f>SUM(D6:D9)</f>
        <v>45</v>
      </c>
      <c r="E10" s="5">
        <f>SUM(E6:E9)</f>
        <v>8</v>
      </c>
      <c r="F10" s="5">
        <f>SUM(F6:F9)</f>
        <v>17</v>
      </c>
      <c r="G10" s="5">
        <f>SUM(G6:G9)</f>
        <v>5</v>
      </c>
      <c r="H10" s="5">
        <f>SUM(H6:H9)</f>
        <v>3</v>
      </c>
      <c r="I10" s="9">
        <f>IFERROR(F10/(C10-H10),0)</f>
        <v>0.22666666666666666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0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25</v>
      </c>
      <c r="D14" s="7">
        <f>COUNTIFS('任務清單'!$C:$C,$A14,'任務清單'!$F:$F,D$12)</f>
        <v>18</v>
      </c>
      <c r="E14" s="7">
        <f>COUNTIFS('任務清單'!$C:$C,$A14,'任務清單'!$F:$F,E$12)</f>
        <v>3</v>
      </c>
      <c r="F14" s="7">
        <f>COUNTIFS('任務清單'!$C:$C,$A14,'任務清單'!$F:$F,F$12)</f>
        <v>2</v>
      </c>
      <c r="G14" s="7">
        <f>COUNTIFS('任務清單'!$C:$C,$A14,'任務清單'!$F:$F,G$12)</f>
        <v>1</v>
      </c>
      <c r="H14" s="7">
        <f>COUNTIFS('任務清單'!$C:$C,$A14,'任務清單'!$F:$F,H$12)</f>
        <v>1</v>
      </c>
      <c r="I14" s="8">
        <f>IFERROR(F14/(C14-H14),0)</f>
        <v>0.08333333333333333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23</v>
      </c>
      <c r="D15" s="7">
        <f>COUNTIFS('任務清單'!$C:$C,$A15,'任務清單'!$F:$F,D$12)</f>
        <v>20</v>
      </c>
      <c r="E15" s="7">
        <f>COUNTIFS('任務清單'!$C:$C,$A15,'任務清單'!$F:$F,E$12)</f>
        <v>0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7</v>
      </c>
      <c r="D16" s="7">
        <f>COUNTIFS('任務清單'!$C:$C,$A16,'任務清單'!$F:$F,D$12)</f>
        <v>7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78</v>
      </c>
      <c r="D17" s="5">
        <f>SUM(D13:D16)</f>
        <v>45</v>
      </c>
      <c r="E17" s="5">
        <f>SUM(E13:E16)</f>
        <v>8</v>
      </c>
      <c r="F17" s="5">
        <f>SUM(F13:F16)</f>
        <v>17</v>
      </c>
      <c r="G17" s="5">
        <f>SUM(G13:G16)</f>
        <v>5</v>
      </c>
      <c r="H17" s="5">
        <f>SUM(H13:H16)</f>
        <v>3</v>
      </c>
      <c r="I17" s="9">
        <f>IFERROR(F17/(C17-H17),0)</f>
        <v>0.22666666666666666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409" customHeight="1">
      <c r="A26" s="13" t="inlineStr">
        <is>
          <t>P1-12</t>
        </is>
      </c>
      <c r="B26" s="6" t="inlineStr">
        <is>
          <t>設備解綁時的記憶處理：確認、預設保留、可選清除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6" s="11" t="n"/>
      <c r="G26" s="11" t="n"/>
      <c r="H26" s="11" t="n"/>
      <c r="I26" s="12" t="n"/>
    </row>
    <row r="27" ht="200" customHeight="1">
      <c r="A27" s="13" t="inlineStr">
        <is>
          <t>R-21</t>
        </is>
      </c>
      <c r="B27" s="6" t="inlineStr">
        <is>
          <t>藍牙配網與綁定（取代熱點配網）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27" s="11" t="n"/>
      <c r="G27" s="11" t="n"/>
      <c r="H27" s="11" t="n"/>
      <c r="I27" s="12" t="n"/>
    </row>
    <row r="28" ht="116" customHeight="1">
      <c r="A28" s="13" t="inlineStr">
        <is>
          <t>R-36</t>
        </is>
      </c>
      <c r="B28" s="6" t="inlineStr">
        <is>
          <t>未認領的設備停在配對狀態，不再每秒重連 websocket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28" s="11" t="n"/>
      <c r="G28" s="11" t="n"/>
      <c r="H28" s="11" t="n"/>
      <c r="I28" s="12" t="n"/>
    </row>
    <row r="29" ht="60" customHeight="1">
      <c r="A29" s="13" t="inlineStr">
        <is>
          <t>P1-01</t>
        </is>
      </c>
      <c r="B29" s="6" t="inlineStr">
        <is>
          <t>加入內容審核層（輸入與輸出）</t>
        </is>
      </c>
      <c r="C29" s="13" t="inlineStr">
        <is>
          <t>2 內測準備</t>
        </is>
      </c>
      <c r="D29" s="13" t="inlineStr">
        <is>
          <t>未開始</t>
        </is>
      </c>
      <c r="E29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29" s="11" t="n"/>
      <c r="G29" s="11" t="n"/>
      <c r="H29" s="11" t="n"/>
      <c r="I29" s="12" t="n"/>
    </row>
    <row r="30" ht="32" customHeight="1">
      <c r="A30" s="13" t="inlineStr">
        <is>
          <t>P1-02</t>
        </is>
      </c>
      <c r="B30" s="6" t="inlineStr">
        <is>
          <t>日誌移除兒童個人資料</t>
        </is>
      </c>
      <c r="C30" s="13" t="inlineStr">
        <is>
          <t>2 內測準備</t>
        </is>
      </c>
      <c r="D30" s="13" t="inlineStr">
        <is>
          <t>未開始</t>
        </is>
      </c>
      <c r="E30" s="6" t="inlineStr">
        <is>
          <t>生產日誌只記 ID、長度、類別，不記內容；內容只在 DEBUG 等級輸出，生產不開 DEBUG。</t>
        </is>
      </c>
      <c r="F30" s="11" t="n"/>
      <c r="G30" s="11" t="n"/>
      <c r="H30" s="11" t="n"/>
      <c r="I30" s="12" t="n"/>
    </row>
    <row r="31" ht="60" customHeight="1">
      <c r="A31" s="13" t="inlineStr">
        <is>
          <t>P1-10</t>
        </is>
      </c>
      <c r="B31" s="6" t="inlineStr">
        <is>
          <t>管理操作審計記錄</t>
        </is>
      </c>
      <c r="C31" s="13" t="inlineStr">
        <is>
          <t>2 內測準備</t>
        </is>
      </c>
      <c r="D31" s="13" t="inlineStr">
        <is>
          <t>未開始</t>
        </is>
      </c>
      <c r="E31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F31" s="11" t="n"/>
      <c r="G31" s="11" t="n"/>
      <c r="H31" s="11" t="n"/>
      <c r="I31" s="12" t="n"/>
    </row>
    <row r="32" ht="46" customHeight="1">
      <c r="A32" s="13" t="inlineStr">
        <is>
          <t>P1-11</t>
        </is>
      </c>
      <c r="B32" s="6" t="inlineStr">
        <is>
          <t>伺服器與資料庫直接存取的管控</t>
        </is>
      </c>
      <c r="C32" s="13" t="inlineStr">
        <is>
          <t>2 內測準備</t>
        </is>
      </c>
      <c r="D32" s="13" t="inlineStr">
        <is>
          <t>未開始</t>
        </is>
      </c>
      <c r="E32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2" s="11" t="n"/>
      <c r="G32" s="11" t="n"/>
      <c r="H32" s="11" t="n"/>
      <c r="I32" s="12" t="n"/>
    </row>
    <row r="33" ht="46" customHeight="1">
      <c r="A33" s="13" t="inlineStr">
        <is>
          <t>P2-02</t>
        </is>
      </c>
      <c r="B33" s="6" t="inlineStr">
        <is>
          <t>CI 跑測試與靜態檢查</t>
        </is>
      </c>
      <c r="C33" s="13" t="inlineStr">
        <is>
          <t>2 內測準備</t>
        </is>
      </c>
      <c r="D33" s="13" t="inlineStr">
        <is>
          <t>未開始</t>
        </is>
      </c>
      <c r="E33" s="6" t="inlineStr">
        <is>
          <t>推送與 PR 時跑 pytest、ruff、pyright、next lint、tsc --noEmit、pio run；任何一項失敗就不發佈 image。</t>
        </is>
      </c>
      <c r="F33" s="11" t="n"/>
      <c r="G33" s="11" t="n"/>
      <c r="H33" s="11" t="n"/>
      <c r="I33" s="12" t="n"/>
    </row>
    <row r="34" ht="32" customHeight="1">
      <c r="A34" s="13" t="inlineStr">
        <is>
          <t>P2-04</t>
        </is>
      </c>
      <c r="B34" s="6" t="inlineStr">
        <is>
          <t>容器改用非 root 用戶</t>
        </is>
      </c>
      <c r="C34" s="13" t="inlineStr">
        <is>
          <t>2 內測準備</t>
        </is>
      </c>
      <c r="D34" s="13" t="inlineStr">
        <is>
          <t>未開始</t>
        </is>
      </c>
      <c r="E34" s="6" t="inlineStr">
        <is>
          <t>兩個 Dockerfile 都設定非 root 的 USER。</t>
        </is>
      </c>
      <c r="F34" s="11" t="n"/>
      <c r="G34" s="11" t="n"/>
      <c r="H34" s="11" t="n"/>
      <c r="I34" s="12" t="n"/>
    </row>
    <row r="36">
      <c r="A36" s="10" t="inlineStr">
        <is>
          <t>✅ 最近完成與測試效果</t>
        </is>
      </c>
    </row>
    <row r="37">
      <c r="A37" s="4" t="inlineStr">
        <is>
          <t>編號</t>
        </is>
      </c>
      <c r="B37" s="4" t="inlineStr">
        <is>
          <t>任務</t>
        </is>
      </c>
      <c r="C37" s="4" t="inlineStr">
        <is>
          <t>測試結果</t>
        </is>
      </c>
      <c r="D37" s="4" t="inlineStr">
        <is>
          <t>完成日期</t>
        </is>
      </c>
      <c r="E37" s="4" t="inlineStr">
        <is>
          <t>測試證據</t>
        </is>
      </c>
      <c r="F37" s="11" t="n"/>
      <c r="G37" s="11" t="n"/>
      <c r="H37" s="11" t="n"/>
      <c r="I37" s="12" t="n"/>
    </row>
    <row r="38" ht="102" customHeight="1">
      <c r="A38" s="13" t="inlineStr">
        <is>
          <t>P0-12</t>
        </is>
      </c>
      <c r="B38" s="6" t="inlineStr">
        <is>
          <t>收緊 Admin 權限與路由保護</t>
        </is>
      </c>
      <c r="C38" s="13" t="inlineStr">
        <is>
          <t>通過</t>
        </is>
      </c>
      <c r="D38" s="13" t="inlineStr">
        <is>
          <t>2026-10-12</t>
        </is>
      </c>
      <c r="E3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38" s="11" t="n"/>
      <c r="G38" s="11" t="n"/>
      <c r="H38" s="11" t="n"/>
      <c r="I38" s="12" t="n"/>
    </row>
    <row r="39" ht="88" customHeight="1">
      <c r="A39" s="13" t="inlineStr">
        <is>
          <t>P0-15</t>
        </is>
      </c>
      <c r="B39" s="6" t="inlineStr">
        <is>
          <t>角色表權限：只有內容管理員能發佈，關閉家長自建角色</t>
        </is>
      </c>
      <c r="C39" s="13" t="inlineStr">
        <is>
          <t>通過</t>
        </is>
      </c>
      <c r="D39" s="13" t="inlineStr">
        <is>
          <t>2026-10-12</t>
        </is>
      </c>
      <c r="E39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39" s="11" t="n"/>
      <c r="G39" s="11" t="n"/>
      <c r="H39" s="11" t="n"/>
      <c r="I39" s="12" t="n"/>
    </row>
    <row r="40" ht="88" customHeight="1">
      <c r="A40" s="13" t="inlineStr">
        <is>
          <t>P0-16</t>
        </is>
      </c>
      <c r="B40" s="6" t="inlineStr">
        <is>
          <t>移除「醫生」身份與寫死的通關碼</t>
        </is>
      </c>
      <c r="C40" s="13" t="inlineStr">
        <is>
          <t>通過</t>
        </is>
      </c>
      <c r="D40" s="13" t="inlineStr">
        <is>
          <t>2026-10-12</t>
        </is>
      </c>
      <c r="E40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40" s="11" t="n"/>
      <c r="G40" s="11" t="n"/>
      <c r="H40" s="11" t="n"/>
      <c r="I40" s="12" t="n"/>
    </row>
    <row r="41" ht="60" customHeight="1">
      <c r="A41" s="13" t="inlineStr">
        <is>
          <t>P0-09</t>
        </is>
      </c>
      <c r="B41" s="6" t="inlineStr">
        <is>
          <t>瀏覽器語音路由改用簽名 token（/ws/nextjs）</t>
        </is>
      </c>
      <c r="C41" s="13" t="inlineStr">
        <is>
          <t>通過</t>
        </is>
      </c>
      <c r="D41" s="13" t="inlineStr">
        <is>
          <t>2026-10-12</t>
        </is>
      </c>
      <c r="E41" s="6" t="inlineStr">
        <is>
          <t>線上 2026-10-12（bac24e9）：wss /fastapi/ws/nextjs 只帶 user_id 或 token=bogus → 4401；用戶確認：登入 elatoai.hkqft.com 後網頁 playground 可正常對話</t>
        </is>
      </c>
      <c r="F41" s="11" t="n"/>
      <c r="G41" s="11" t="n"/>
      <c r="H41" s="11" t="n"/>
      <c r="I41" s="12" t="n"/>
    </row>
    <row r="42" ht="60" customHeight="1">
      <c r="A42" s="13" t="inlineStr">
        <is>
          <t>P0-17</t>
        </is>
      </c>
      <c r="B42" s="6" t="inlineStr">
        <is>
          <t>前端的 anon key 必須是公開 key，不可是 secret／service_role</t>
        </is>
      </c>
      <c r="C42" s="13" t="inlineStr">
        <is>
          <t>通過</t>
        </is>
      </c>
      <c r="D42" s="13" t="inlineStr">
        <is>
          <t>2026-10-12</t>
        </is>
      </c>
      <c r="E4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42" s="11" t="n"/>
      <c r="G42" s="11" t="n"/>
      <c r="H42" s="11" t="n"/>
      <c r="I42" s="12" t="n"/>
    </row>
    <row r="43" ht="46" customHeight="1">
      <c r="A43" s="13" t="inlineStr">
        <is>
          <t>P0-10</t>
        </is>
      </c>
      <c r="B43" s="6" t="inlineStr">
        <is>
          <t>生產環境關閉 /browser 測試頁與 /ws/browser</t>
        </is>
      </c>
      <c r="C43" s="13" t="inlineStr">
        <is>
          <t>通過</t>
        </is>
      </c>
      <c r="D43" s="13" t="inlineStr">
        <is>
          <t>2026-10-12</t>
        </is>
      </c>
      <c r="E43" s="6" t="inlineStr">
        <is>
          <t>線上 2026-10-12（bac24e9）：GET /fastapi/browser 404、/fastapi/ 404、/fastapi/healthz 200、wss /fastapi/ws/browser → HTTP 403</t>
        </is>
      </c>
      <c r="F43" s="11" t="n"/>
      <c r="G43" s="11" t="n"/>
      <c r="H43" s="11" t="n"/>
      <c r="I43" s="12" t="n"/>
    </row>
    <row r="44" ht="60" customHeight="1">
      <c r="A44" s="13" t="inlineStr">
        <is>
          <t>P0-08</t>
        </is>
      </c>
      <c r="B44" s="6" t="inlineStr">
        <is>
          <t>語音伺服器驗證設備身份（/ws/esp32）</t>
        </is>
      </c>
      <c r="C44" s="13" t="inlineStr">
        <is>
          <t>通過</t>
        </is>
      </c>
      <c r="D44" s="13" t="inlineStr">
        <is>
          <t>2026-10-12</t>
        </is>
      </c>
      <c r="E44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F44" s="11" t="n"/>
      <c r="G44" s="11" t="n"/>
      <c r="H44" s="11" t="n"/>
      <c r="I44" s="12" t="n"/>
    </row>
    <row r="45" ht="60" customHeight="1">
      <c r="A45" s="13" t="inlineStr">
        <is>
          <t>P0-06</t>
        </is>
      </c>
      <c r="B45" s="6" t="inlineStr">
        <is>
          <t>停止憑 MAC 發放永久用戶 JWT</t>
        </is>
      </c>
      <c r="C45" s="13" t="inlineStr">
        <is>
          <t>通過</t>
        </is>
      </c>
      <c r="D45" s="13" t="inlineStr">
        <is>
          <t>2026-10-12</t>
        </is>
      </c>
      <c r="E45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F45" s="11" t="n"/>
      <c r="G45" s="11" t="n"/>
      <c r="H45" s="11" t="n"/>
      <c r="I45" s="12" t="n"/>
    </row>
    <row r="47">
      <c r="A47" s="10" t="inlineStr">
        <is>
          <t>⏳ 等待依賴 / ⛔ 阻塞</t>
        </is>
      </c>
    </row>
    <row r="48">
      <c r="A48" s="4" t="inlineStr">
        <is>
          <t>編號</t>
        </is>
      </c>
      <c r="B48" s="4" t="inlineStr">
        <is>
          <t>任務</t>
        </is>
      </c>
      <c r="C48" s="4" t="inlineStr">
        <is>
          <t>在等什麼</t>
        </is>
      </c>
      <c r="D48" s="11" t="n"/>
      <c r="E48" s="11" t="n"/>
      <c r="F48" s="11" t="n"/>
      <c r="G48" s="11" t="n"/>
      <c r="H48" s="11" t="n"/>
      <c r="I48" s="12" t="n"/>
    </row>
    <row r="49" ht="60" customHeight="1">
      <c r="A49" s="13" t="inlineStr">
        <is>
          <t>R-16</t>
        </is>
      </c>
      <c r="B49" s="6" t="inlineStr">
        <is>
          <t>Spotpear 量產版加電池電壓檢測（GPIO0 分壓）</t>
        </is>
      </c>
      <c r="C49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49" s="11" t="n"/>
      <c r="E49" s="11" t="n"/>
      <c r="F49" s="11" t="n"/>
      <c r="G49" s="11" t="n"/>
      <c r="H49" s="11" t="n"/>
      <c r="I49" s="12" t="n"/>
    </row>
    <row r="50" ht="88" customHeight="1">
      <c r="A50" s="13" t="inlineStr">
        <is>
          <t>R-17</t>
        </is>
      </c>
      <c r="B50" s="6" t="inlineStr">
        <is>
          <t>Spotpear 電池耗盡時插電能否正常開機（供電路徑）</t>
        </is>
      </c>
      <c r="C50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0" s="11" t="n"/>
      <c r="E50" s="11" t="n"/>
      <c r="F50" s="11" t="n"/>
      <c r="G50" s="11" t="n"/>
      <c r="H50" s="11" t="n"/>
      <c r="I50" s="12" t="n"/>
    </row>
    <row r="51" ht="32" customHeight="1">
      <c r="A51" s="13" t="inlineStr">
        <is>
          <t>P1-09</t>
        </is>
      </c>
      <c r="B51" s="6" t="inlineStr">
        <is>
          <t>家長鎖：孩子模式進設定要輸入 PIN</t>
        </is>
      </c>
      <c r="C51" s="6" t="inlineStr">
        <is>
          <t>阻塞：[2026-10-13] 2026-10-13 用戶決定：AI Buddy（品牌 C）延到 1/15 之後，本項不卡 1/15 出廠；AI Buddy 啟動時再開。</t>
        </is>
      </c>
      <c r="D51" s="11" t="n"/>
      <c r="E51" s="11" t="n"/>
      <c r="F51" s="11" t="n"/>
      <c r="G51" s="11" t="n"/>
      <c r="H51" s="11" t="n"/>
      <c r="I51" s="12" t="n"/>
    </row>
    <row r="52" ht="32" customHeight="1">
      <c r="A52" s="13" t="inlineStr">
        <is>
          <t>R-12</t>
        </is>
      </c>
      <c r="B52" s="6" t="inlineStr">
        <is>
          <t>家長控制：每日使用上限和休息時段</t>
        </is>
      </c>
      <c r="C52" s="6" t="inlineStr">
        <is>
          <t>阻塞：[2026-10-13] 2026-10-13 用戶決定：AI Buddy（品牌 C）延到 1/15 之後，本項不卡 1/15 出廠；AI Buddy 啟動時再開。</t>
        </is>
      </c>
      <c r="D52" s="11" t="n"/>
      <c r="E52" s="11" t="n"/>
      <c r="F52" s="11" t="n"/>
      <c r="G52" s="11" t="n"/>
      <c r="H52" s="11" t="n"/>
      <c r="I52" s="12" t="n"/>
    </row>
    <row r="53" ht="32" customHeight="1">
      <c r="A53" s="13" t="inlineStr">
        <is>
          <t>R-29</t>
        </is>
      </c>
      <c r="B53" s="6" t="inlineStr">
        <is>
          <t>AI Buddy App（品牌 C）頁面</t>
        </is>
      </c>
      <c r="C53" s="6" t="inlineStr">
        <is>
          <t>阻塞：[2026-10-13] 2026-10-13 用戶決定：AI Buddy（品牌 C）延到 1/15 之後，本項不卡 1/15 出廠；AI Buddy 啟動時再開。</t>
        </is>
      </c>
      <c r="D53" s="11" t="n"/>
      <c r="E53" s="11" t="n"/>
      <c r="F53" s="11" t="n"/>
      <c r="G53" s="11" t="n"/>
      <c r="H53" s="11" t="n"/>
      <c r="I53" s="12" t="n"/>
    </row>
    <row r="54" ht="18" customHeight="1">
      <c r="A54" s="13" t="inlineStr">
        <is>
          <t>R-05</t>
        </is>
      </c>
      <c r="B54" s="6" t="inlineStr">
        <is>
          <t>內測版外殼（3D 打印 20 台）</t>
        </is>
      </c>
      <c r="C54" s="6" t="inlineStr">
        <is>
          <t>等 R-01</t>
        </is>
      </c>
      <c r="D54" s="11" t="n"/>
      <c r="E54" s="11" t="n"/>
      <c r="F54" s="11" t="n"/>
      <c r="G54" s="11" t="n"/>
      <c r="H54" s="11" t="n"/>
      <c r="I54" s="12" t="n"/>
    </row>
    <row r="55" ht="18" customHeight="1">
      <c r="A55" s="13" t="inlineStr">
        <is>
          <t>R-06</t>
        </is>
      </c>
      <c r="B55" s="6" t="inlineStr">
        <is>
          <t>家長自助上手流程</t>
        </is>
      </c>
      <c r="C55" s="6" t="inlineStr">
        <is>
          <t>等 P0-11</t>
        </is>
      </c>
      <c r="D55" s="11" t="n"/>
      <c r="E55" s="11" t="n"/>
      <c r="F55" s="11" t="n"/>
      <c r="G55" s="11" t="n"/>
      <c r="H55" s="11" t="n"/>
      <c r="I55" s="12" t="n"/>
    </row>
    <row r="56" ht="32" customHeight="1">
      <c r="A56" s="13" t="inlineStr">
        <is>
          <t>R-13</t>
        </is>
      </c>
      <c r="B56" s="6" t="inlineStr">
        <is>
          <t>CP1 內測就緒檢查（10/30）</t>
        </is>
      </c>
      <c r="C56" s="6" t="inlineStr">
        <is>
          <t>等 P0-07、P0-11、P1-01、P1-02、P2-09、R-01、R-02、R-04、R-05、R-06、P1-09、P1-11</t>
        </is>
      </c>
      <c r="D56" s="11" t="n"/>
      <c r="E56" s="11" t="n"/>
      <c r="F56" s="11" t="n"/>
      <c r="G56" s="11" t="n"/>
      <c r="H56" s="11" t="n"/>
      <c r="I56" s="12" t="n"/>
    </row>
    <row r="57" ht="32" customHeight="1">
      <c r="A57" s="13" t="inlineStr">
        <is>
          <t>R-18</t>
        </is>
      </c>
      <c r="B57" s="6" t="inlineStr">
        <is>
          <t>長按 BOOT 重新配網（開 AIBuddy-XXXX 熱點）</t>
        </is>
      </c>
      <c r="C57" s="6" t="inlineStr">
        <is>
          <t>等 R-01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R-19</t>
        </is>
      </c>
      <c r="B58" s="6" t="inlineStr">
        <is>
          <t>外接按鈕：量產板加 I2C 擴展晶片（TCA9555）</t>
        </is>
      </c>
      <c r="C58" s="6" t="inlineStr">
        <is>
          <t>等 R-01</t>
        </is>
      </c>
      <c r="D58" s="11" t="n"/>
      <c r="E58" s="11" t="n"/>
      <c r="F58" s="11" t="n"/>
      <c r="G58" s="11" t="n"/>
      <c r="H58" s="11" t="n"/>
      <c r="I58" s="12" t="n"/>
    </row>
    <row r="59" ht="18" customHeight="1">
      <c r="A59" s="13" t="inlineStr">
        <is>
          <t>R-20</t>
        </is>
      </c>
      <c r="B59" s="6" t="inlineStr">
        <is>
          <t>孩子資料與角色改成每台設備一份</t>
        </is>
      </c>
      <c r="C59" s="6" t="inlineStr">
        <is>
          <t>等 P1-12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R-27</t>
        </is>
      </c>
      <c r="B60" s="6" t="inlineStr">
        <is>
          <t>App 內登入：驗證碼、原生社交登入、刪除帳號</t>
        </is>
      </c>
      <c r="C60" s="6" t="inlineStr">
        <is>
          <t>等 R-26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P0-14</t>
        </is>
      </c>
      <c r="B61" s="6" t="inlineStr">
        <is>
          <t>韌體簽章、Secure Boot 與 Flash 加密</t>
        </is>
      </c>
      <c r="C61" s="6" t="inlineStr">
        <is>
          <t>等 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P1-06</t>
        </is>
      </c>
      <c r="B62" s="6" t="inlineStr">
        <is>
          <t>處理 GPL-3.0 依賴（arduino-audio-tools）</t>
        </is>
      </c>
      <c r="C62" s="6" t="inlineStr">
        <is>
          <t>等 Q3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P1-07</t>
        </is>
      </c>
      <c r="B63" s="6" t="inlineStr">
        <is>
          <t>LGPL 合規與第三方授權聲明</t>
        </is>
      </c>
      <c r="C63" s="6" t="inlineStr">
        <is>
          <t>等 Q3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P1-08</t>
        </is>
      </c>
      <c r="B64" s="6" t="inlineStr">
        <is>
          <t>硬件認證</t>
        </is>
      </c>
      <c r="C64" s="6" t="inlineStr">
        <is>
          <t>等 R-01、R-05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R-07</t>
        </is>
      </c>
      <c r="B65" s="6" t="inlineStr">
        <is>
          <t>20 個家庭封閉內測</t>
        </is>
      </c>
      <c r="C65" s="6" t="inlineStr">
        <is>
          <t>等 R-13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R-08</t>
        </is>
      </c>
      <c r="B66" s="6" t="inlineStr">
        <is>
          <t>第 8 週關卡決策</t>
        </is>
      </c>
      <c r="C66" s="6" t="inlineStr">
        <is>
          <t>等 R-07、P2-09、P1-08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R-14</t>
        </is>
      </c>
      <c r="B67" s="6" t="inlineStr">
        <is>
          <t>離線兒歌與故事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R-24</t>
        </is>
      </c>
      <c r="B68" s="6" t="inlineStr">
        <is>
          <t>設備只能用自己品牌的角色</t>
        </is>
      </c>
      <c r="C68" s="6" t="inlineStr">
        <is>
          <t>等 R-34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R-28</t>
        </is>
      </c>
      <c r="B69" s="6" t="inlineStr">
        <is>
          <t>三個 App 的殼：品牌版本與測試版</t>
        </is>
      </c>
      <c r="C69" s="6" t="inlineStr">
        <is>
          <t>等 R-25、R-26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R-30</t>
        </is>
      </c>
      <c r="B70" s="6" t="inlineStr">
        <is>
          <t>快活 App（品牌 A）頁面</t>
        </is>
      </c>
      <c r="C70" s="6" t="inlineStr">
        <is>
          <t>等 R-25、R-34、Q12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R-31</t>
        </is>
      </c>
      <c r="B71" s="6" t="inlineStr">
        <is>
          <t>政協青年聯會版 App（品牌 B）頁面</t>
        </is>
      </c>
      <c r="C71" s="6" t="inlineStr">
        <is>
          <t>等 R-25、R-34、Q13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R-35</t>
        </is>
      </c>
      <c r="B72" s="6" t="inlineStr">
        <is>
          <t>韌體按品牌連線：伺服器網址在出廠時寫入</t>
        </is>
      </c>
      <c r="C72" s="6" t="inlineStr">
        <is>
          <t>等 R-34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R-09</t>
        </is>
      </c>
      <c r="B73" s="6" t="inlineStr">
        <is>
          <t>量產外殼（真空複模）</t>
        </is>
      </c>
      <c r="C73" s="6" t="inlineStr">
        <is>
          <t>等 R-08、R-05、Q11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R-10</t>
        </is>
      </c>
      <c r="B74" s="6" t="inlineStr">
        <is>
          <t>出廠流程</t>
        </is>
      </c>
      <c r="C74" s="6" t="inlineStr">
        <is>
          <t>等 P0-14、R-01、P2-12、R-34、R-35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R-15</t>
        </is>
      </c>
      <c r="B75" s="6" t="inlineStr">
        <is>
          <t>農曆新年前交付（生產 1/15、送達 1/29）</t>
        </is>
      </c>
      <c r="C75" s="6" t="inlineStr">
        <is>
          <t>等 R-09、R-10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R-33</t>
        </is>
      </c>
      <c r="B76" s="6" t="inlineStr">
        <is>
          <t>三個 App 送審並通過</t>
        </is>
      </c>
      <c r="C76" s="6" t="inlineStr">
        <is>
          <t>等 R-27、R-21、R-28、R-29、R-30、R-31、R-32</t>
        </is>
      </c>
      <c r="D76" s="11" t="n"/>
      <c r="E76" s="11" t="n"/>
      <c r="F76" s="11" t="n"/>
      <c r="G76" s="11" t="n"/>
      <c r="H76" s="11" t="n"/>
      <c r="I76" s="12" t="n"/>
    </row>
    <row r="78">
      <c r="A78" s="10" t="inlineStr">
        <is>
          <t>❓ 待確認問題</t>
        </is>
      </c>
    </row>
    <row r="79">
      <c r="A79" s="4" t="inlineStr">
        <is>
          <t>編號</t>
        </is>
      </c>
      <c r="B79" s="4" t="inlineStr">
        <is>
          <t>問題</t>
        </is>
      </c>
      <c r="C79" s="4" t="inlineStr">
        <is>
          <t>影響的任務 / 為什麼重要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Q3</t>
        </is>
      </c>
      <c r="B80" s="6" t="inlineStr">
        <is>
          <t>韌體打算閉源商業銷售嗎？</t>
        </is>
      </c>
      <c r="C80" s="6" t="inlineStr">
        <is>
          <t>P1-06, P1-07：決定 GPL／LGPL 依賴要開源還是替換。</t>
        </is>
      </c>
      <c r="D80" s="11" t="n"/>
      <c r="E80" s="11" t="n"/>
      <c r="F80" s="11" t="n"/>
      <c r="G80" s="11" t="n"/>
      <c r="H80" s="11" t="n"/>
      <c r="I80" s="12" t="n"/>
    </row>
    <row r="81" ht="32" customHeight="1">
      <c r="A81" s="13" t="inlineStr">
        <is>
          <t>Q11</t>
        </is>
      </c>
      <c r="B81" s="6" t="inlineStr">
        <is>
          <t>馬會快活的賽馬日版和新春版各多少隻（共 2,500）？</t>
        </is>
      </c>
      <c r="C81" s="6" t="inlineStr">
        <is>
          <t>R-09, R-15：兩款的服裝和配件要分開訂料；11/20 前不知道，PP 樣和大貨單（11/27）會被拖慢。由馬會決定。</t>
        </is>
      </c>
      <c r="D81" s="11" t="n"/>
      <c r="E81" s="11" t="n"/>
      <c r="F81" s="11" t="n"/>
      <c r="G81" s="11" t="n"/>
      <c r="H81" s="11" t="n"/>
      <c r="I81" s="12" t="n"/>
    </row>
    <row r="82" ht="60" customHeight="1">
      <c r="A82" s="13" t="inlineStr">
        <is>
          <t>Q12</t>
        </is>
      </c>
      <c r="B82" s="6" t="inlineStr">
        <is>
          <t>快活 App 的「會員綁定」是指甚麼：用我們自己的帳號（email 驗證碼），還是接馬會的會員帳號登入（SSO）？</t>
        </is>
      </c>
      <c r="C82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82" s="11" t="n"/>
      <c r="E82" s="11" t="n"/>
      <c r="F82" s="11" t="n"/>
      <c r="G82" s="11" t="n"/>
      <c r="H82" s="11" t="n"/>
      <c r="I82" s="12" t="n"/>
    </row>
    <row r="83" ht="46" customHeight="1">
      <c r="A83" s="13" t="inlineStr">
        <is>
          <t>Q13</t>
        </is>
      </c>
      <c r="B83" s="6" t="inlineStr">
        <is>
          <t>政協青年聯會版的角色、語言和內容由誰提供？什麼時候交？</t>
        </is>
      </c>
      <c r="C83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83" s="11" t="n"/>
      <c r="E83" s="11" t="n"/>
      <c r="F83" s="11" t="n"/>
      <c r="G83" s="11" t="n"/>
      <c r="H83" s="11" t="n"/>
      <c r="I83" s="12" t="n"/>
    </row>
    <row r="85">
      <c r="A85" s="10" t="inlineStr">
        <is>
          <t>說明</t>
        </is>
      </c>
    </row>
    <row r="86" ht="32" customHeight="1">
      <c r="A86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87" ht="18" customHeight="1">
      <c r="A87" s="14" t="inlineStr">
        <is>
          <t>・測試結果：未測試 / 通過 / 失敗 / 部分通過。測試證據寫跑了什麼、看到什麼，完整歷史在「更新記錄」。</t>
        </is>
      </c>
    </row>
    <row r="88" ht="18" customHeight="1">
      <c r="A88" s="14" t="inlineStr">
        <is>
          <t>・「接下來」按階段排序，同一階段內再按優先級；依賴還沒滿足的任務不會出現在「接下來」。</t>
        </is>
      </c>
    </row>
    <row r="89" ht="18" customHeight="1">
      <c r="A89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90" ht="32" customHeight="1">
      <c r="A90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71">
    <mergeCell ref="E21:I21"/>
    <mergeCell ref="C61:I61"/>
    <mergeCell ref="E43:I43"/>
    <mergeCell ref="C52:I52"/>
    <mergeCell ref="C70:I70"/>
    <mergeCell ref="A90:I90"/>
    <mergeCell ref="C48:I48"/>
    <mergeCell ref="E24:I24"/>
    <mergeCell ref="E42:I42"/>
    <mergeCell ref="C82:I82"/>
    <mergeCell ref="A89:I89"/>
    <mergeCell ref="E33:I33"/>
    <mergeCell ref="A78:I78"/>
    <mergeCell ref="A3:I3"/>
    <mergeCell ref="E23:I23"/>
    <mergeCell ref="C72:I72"/>
    <mergeCell ref="E39:I39"/>
    <mergeCell ref="C67:I67"/>
    <mergeCell ref="C81:I81"/>
    <mergeCell ref="C57:I57"/>
    <mergeCell ref="A86:I86"/>
    <mergeCell ref="C53:I53"/>
    <mergeCell ref="C66:I66"/>
    <mergeCell ref="E44:I44"/>
    <mergeCell ref="A2:I2"/>
    <mergeCell ref="E29:I29"/>
    <mergeCell ref="C69:I69"/>
    <mergeCell ref="E20:I20"/>
    <mergeCell ref="E38:I38"/>
    <mergeCell ref="A47:I47"/>
    <mergeCell ref="A85:I85"/>
    <mergeCell ref="C49:I49"/>
    <mergeCell ref="E28:I28"/>
    <mergeCell ref="C83:I83"/>
    <mergeCell ref="C62:I62"/>
    <mergeCell ref="C68:I68"/>
    <mergeCell ref="E31:I31"/>
    <mergeCell ref="E40:I40"/>
    <mergeCell ref="C58:I58"/>
    <mergeCell ref="E30:I30"/>
    <mergeCell ref="E34:I34"/>
    <mergeCell ref="A19:I19"/>
    <mergeCell ref="C74:I74"/>
    <mergeCell ref="C64:I64"/>
    <mergeCell ref="C79:I79"/>
    <mergeCell ref="C73:I73"/>
    <mergeCell ref="E27:I27"/>
    <mergeCell ref="E45:I45"/>
    <mergeCell ref="C54:I54"/>
    <mergeCell ref="C63:I63"/>
    <mergeCell ref="C65:I65"/>
    <mergeCell ref="E26:I26"/>
    <mergeCell ref="C55:I55"/>
    <mergeCell ref="C50:I50"/>
    <mergeCell ref="C75:I75"/>
    <mergeCell ref="C80:I80"/>
    <mergeCell ref="C56:I56"/>
    <mergeCell ref="E32:I32"/>
    <mergeCell ref="A36:I36"/>
    <mergeCell ref="E25:I25"/>
    <mergeCell ref="C59:I59"/>
    <mergeCell ref="A1:I1"/>
    <mergeCell ref="E41:I41"/>
    <mergeCell ref="A88:I88"/>
    <mergeCell ref="E37:I37"/>
    <mergeCell ref="C60:I60"/>
    <mergeCell ref="E22:I22"/>
    <mergeCell ref="A87:I87"/>
    <mergeCell ref="C51:I51"/>
    <mergeCell ref="C76:I76"/>
    <mergeCell ref="C71:I71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9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46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32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未開始</t>
        </is>
      </c>
      <c r="G32" s="13" t="inlineStr">
        <is>
          <t>未測試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n"/>
      <c r="O32" s="13" t="n"/>
      <c r="P32" s="6" t="n"/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214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出貨前燒共用出廠韌體（不含密鑰、不分品牌，含最終 bootloader、分區表、Secure Boot），附每片 MAC 清單 ② 玩具廠裝機芯盒工位用我方電腦和腳本：經序列埠寫入設備密鑰 → 選品牌和款式 → 自檢（喇叭、麥克風、按鍵、燈、電池、WiFi）→ 經 HTTPS 登記設備；每台留一行 QC 記錄；工廠工人照作業指導書即可操作，每台約 1.5 分鐘。</t>
        </is>
      </c>
      <c r="L42" s="6" t="inlineStr">
        <is>
          <t>用 Spotpear 燒好的板連續處理 10 台，全部通過且記錄完整；混入一台壞板，自檢能攔下；混入一台未燒共用韌體的板，工位能識別並提示；登記失敗（例如斷網）時該台標為不合格、可重做，不會出現已寫密鑰但伺服器沒有記錄的設備。</t>
        </is>
      </c>
      <c r="M42" s="13" t="inlineStr">
        <is>
          <t>P0-06, P0-14, R-01, P2-12, Q10, R-34, R-35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</t>
        </is>
      </c>
    </row>
    <row r="43" ht="186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n"/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60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未開始</t>
        </is>
      </c>
      <c r="G48" s="13" t="inlineStr">
        <is>
          <t>未測試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n"/>
      <c r="O48" s="13" t="n"/>
      <c r="P48" s="6" t="inlineStr">
        <is>
          <t>[2026-09-30] 新增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88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未開始</t>
        </is>
      </c>
      <c r="G59" s="13" t="inlineStr">
        <is>
          <t>未測試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116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未開始</t>
        </is>
      </c>
      <c r="G79" s="13" t="inlineStr">
        <is>
          <t>未測試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P79" s="6" t="inlineStr">
        <is>
          <t>[2026-10-13] 新增：時間表（project-schedule.xlsx「Jacky 開發與測試」）排在 W4 11/2–11/6，和快活網頁核心一起；內部測試的家庭要加家裡的 Wi-Fi。</t>
        </is>
      </c>
    </row>
  </sheetData>
  <autoFilter ref="A1:P79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3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</sheetData>
  <autoFilter ref="A1:I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2026-10-13T06:30:07Z</dcterms:modified>
</cp:coreProperties>
</file>